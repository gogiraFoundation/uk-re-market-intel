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Y:\Test Env 2\Central LCES\202412\Results analysis\"/>
    </mc:Choice>
  </mc:AlternateContent>
  <xr:revisionPtr revIDLastSave="0" documentId="13_ncr:1_{F09A3FCA-B107-4F86-8A1B-12A2A4520361}" xr6:coauthVersionLast="47" xr6:coauthVersionMax="47" xr10:uidLastSave="{00000000-0000-0000-0000-000000000000}"/>
  <bookViews>
    <workbookView xWindow="28680" yWindow="-120" windowWidth="29040" windowHeight="15720" xr2:uid="{00000000-000D-0000-FFFF-FFFF00000000}"/>
  </bookViews>
  <sheets>
    <sheet name="Contents" sheetId="1" r:id="rId1"/>
    <sheet name="Metadata" sheetId="2" r:id="rId2"/>
    <sheet name="UK LCREE TO by sector" sheetId="3" r:id="rId3"/>
    <sheet name="UK LCREE FTE by sector" sheetId="4" r:id="rId4"/>
    <sheet name="UK LCREE TO by group" sheetId="5" r:id="rId5"/>
    <sheet name="UK LCREE FTE by group"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<sst xmlns="http://schemas.openxmlformats.org/spreadsheetml/2006/main" count="263" uniqueCount="87">
  <si>
    <t>Contents</t>
  </si>
  <si>
    <t>Metadata</t>
  </si>
  <si>
    <t>Information and footnotes</t>
  </si>
  <si>
    <t>LCREE direct and indirect estimates by sector</t>
  </si>
  <si>
    <t xml:space="preserve">Turnover </t>
  </si>
  <si>
    <t>LCREE direct and indirect estimates by group</t>
  </si>
  <si>
    <t>Caveats, footnotes and additional information</t>
  </si>
  <si>
    <t>What is provided in this dataset?</t>
  </si>
  <si>
    <t xml:space="preserve">Annual estimates of low carbon and renewable energy economy (LCREE) direct, indirect and total turnover and employment in the UK by LCREE sector and group. Indirect and total activity estimates provide an indication of the effect that direct economic activity in the LCREE, as captured by the LCREE survey, has on the wider economy. This includes additional activity due to demand generated for the products of other firms by the wages paid to employees, or the increase in demand for the inputs used. </t>
  </si>
  <si>
    <t xml:space="preserve">How has the data been produced? </t>
  </si>
  <si>
    <t xml:space="preserve">As the LCREE sample is constructed using industry SIC codes, the UK industry by industry input-output analytical tables (IOTs) are used to estimate the indirect effect of LCREE survey identified activity. </t>
  </si>
  <si>
    <t xml:space="preserve">More detail on our methodology can be found in our Low Carbon and Renewable Energy Economy (LCREE) Survey: Indirect estimates methodology article. </t>
  </si>
  <si>
    <t xml:space="preserve">What are the caveats associated with this data? </t>
  </si>
  <si>
    <t>The estimates are official statistics in development. The estimates in this dataset have undergone the same high levels of quality assurance as other official statistics. However, as official statistics in development, the methodology used to create them remains under development and may be revised following further evaluation. It is therefore recommended that the following limitations of the current developmental methodology are taken into account when using this data:</t>
  </si>
  <si>
    <t>Notes to all tables</t>
  </si>
  <si>
    <t xml:space="preserve">1. Figures may not sum due to rounding. </t>
  </si>
  <si>
    <t>2. All estimates are in current prices and not adjusted for inflation.</t>
  </si>
  <si>
    <t>3. Turnover is measured in £ thousand and rounded to the nearest £500,000.</t>
  </si>
  <si>
    <t xml:space="preserve">4. Employment is measured in full-time equivalent (FTE) and rounded to the nearest 100. </t>
  </si>
  <si>
    <t xml:space="preserve">5. For turnover, ~ indicates an estimate of less than £500,000. For employment, ~ indicates an estimate of less than 100. </t>
  </si>
  <si>
    <t>Notes for groups</t>
  </si>
  <si>
    <t>Useful links</t>
  </si>
  <si>
    <t>Low Carbon and Renewable Energy Economy (LCREE) Survey: Indirect estimates methodology</t>
  </si>
  <si>
    <t>Back to contents</t>
  </si>
  <si>
    <t>Low Carbon and Renewable Energy Economy (LCREE) turnover, by sector, UK, 2015 to 2024</t>
  </si>
  <si>
    <t>This worksheet contains one table.</t>
  </si>
  <si>
    <t>Turnover (£ thousand)</t>
  </si>
  <si>
    <t>direct</t>
  </si>
  <si>
    <t>indirect</t>
  </si>
  <si>
    <t>total</t>
  </si>
  <si>
    <t>All sectors</t>
  </si>
  <si>
    <t>Offshore wind</t>
  </si>
  <si>
    <t>Onshore wind</t>
  </si>
  <si>
    <t>Solar</t>
  </si>
  <si>
    <t>Hydropower</t>
  </si>
  <si>
    <t>Other renewable electricity</t>
  </si>
  <si>
    <t>Carbon capture and storage</t>
  </si>
  <si>
    <t>~</t>
  </si>
  <si>
    <t>Nuclear power</t>
  </si>
  <si>
    <t>Renewable heat</t>
  </si>
  <si>
    <t>Renewable combined heat and power</t>
  </si>
  <si>
    <t>Bioenergy</t>
  </si>
  <si>
    <t>Alternative fuels</t>
  </si>
  <si>
    <t>Energy efficient lighting</t>
  </si>
  <si>
    <t>Energy efficient products</t>
  </si>
  <si>
    <t>Energy monitoring, saving or control systems</t>
  </si>
  <si>
    <t xml:space="preserve">Low carbon consultancy, advisory and offsetting services </t>
  </si>
  <si>
    <t>Low emission vehicles and infrastructure</t>
  </si>
  <si>
    <t>Fuel cells and energy storage systems</t>
  </si>
  <si>
    <t>Please see Metadata tab for footnotes and further information</t>
  </si>
  <si>
    <t>Low Carbon and Renewable Energy Economy (LCREE) employment, by sector, UK, 2015 to 2024</t>
  </si>
  <si>
    <t>Employment (full time equivalent)</t>
  </si>
  <si>
    <t>Low Carbon and Renewable Energy Economy (LCREE) turnover, by group, UK, 2015 to 2024</t>
  </si>
  <si>
    <t>All groups</t>
  </si>
  <si>
    <t>Low carbon electricity</t>
  </si>
  <si>
    <t>Low carbon heat</t>
  </si>
  <si>
    <t>Energy from waste and biomass</t>
  </si>
  <si>
    <t>Low carbon services</t>
  </si>
  <si>
    <t>Low Carbon and Renewable Energy Economy (LCREE) employment, by group, UK, 2015 to 2024</t>
  </si>
  <si>
    <t>Low Carbon and Renewable Energy Economy (LCREE) Survey direct and indirect estimates of turnover and employment, UK, 2015 to 2024</t>
  </si>
  <si>
    <t>The total estimates are calculated by adding the direct and indirect estimates.</t>
  </si>
  <si>
    <t xml:space="preserve">1. The LCREE Survey estimates used in this developmental methodology are revised for the 2 years prior to publication, i.e. revised 2022 and 2023 data are published alongside the 2024 estimates. </t>
  </si>
  <si>
    <t>2. It is possible that estimates from the LCREE survey, that are currently taken as a measure of direct effects, also capture some aspects of LCREE activity that might be considered to be indirect effects. This has the potential to introduce double counting and overestimation of total (direct plus indirect) LCREE effects using this developmental methodology.</t>
  </si>
  <si>
    <t xml:space="preserve">3. This developmental methodology calculates an indirect effect that contains more than simply turnover collected from sales. It is not currently possible to separate turnover out from this other economic activity. </t>
  </si>
  <si>
    <t>4. The 2015 and 2016 indirect estimates are calculated using the 2017 IOT.</t>
  </si>
  <si>
    <t>5. The 2024 indirect estimates are provisional estimates calculated using the 2023 IOT.</t>
  </si>
  <si>
    <t xml:space="preserve">1. Low carbon electricity group includes the sectors of offshore wind, onshore wind, solar, hydropower, other renewable electricity, carbon capture and storage and nuclear power. </t>
  </si>
  <si>
    <t xml:space="preserve">2. Low carbon heat group includes the sectors of renewable heat and renewable combined heat and power. </t>
  </si>
  <si>
    <t>3. Energy from waste and biomass group includes the sectors of bioenergy and alternative fuels.</t>
  </si>
  <si>
    <t>4. Energy efficient products group includes the sectors of energy efficient lighting, energy efficient products and energy monitoring, saving or control systems.</t>
  </si>
  <si>
    <t>5. Low carbon services group includes the sector of low carbon consultancy, advisory and offsetting services.</t>
  </si>
  <si>
    <t>6. Low emission vehicles and infrastructure group includes the sectors of low emission vehicles and infrastructure, and fuel cells and energy storage systems.</t>
  </si>
  <si>
    <t>https://www.ons.gov.uk/economy/environmentalaccounts/methodologies/lowcarbonandrenewableenergyeconomylcreesurveyindirectestimatesmethodology</t>
  </si>
  <si>
    <t xml:space="preserve">Low carbon and renewable energy economy estimates </t>
  </si>
  <si>
    <t xml:space="preserve">https://www.ons.gov.uk/economy/environmentalaccounts/datasets/lowcarbonandrenewableenergyeconomyfirstestimatesdataset </t>
  </si>
  <si>
    <t xml:space="preserve">UK input‐output analytical tables: industry by industry </t>
  </si>
  <si>
    <t xml:space="preserve">https://www.ons.gov.uk/economy/nationalaccounts/supplyandusetables/datasets/ukinputoutputanalyticaltablesindustrybyindustry </t>
  </si>
  <si>
    <t xml:space="preserve">Input-output analytical tables: guidance for use </t>
  </si>
  <si>
    <t>https://www.ons.gov.uk/economy/nationalaccounts/supplyandusetables/articles/inputoutputanalyticaltables/guidanceforuse</t>
  </si>
  <si>
    <t xml:space="preserve">Employment multipliers and effects in the UK </t>
  </si>
  <si>
    <t xml:space="preserve">https://www.ons.gov.uk/economy/nationalaccounts/supplyandusetables/datasets/employmentmultipliersandeffectsintheuk2020 </t>
  </si>
  <si>
    <t xml:space="preserve">Standard Industrial Classification (SIC 2007) </t>
  </si>
  <si>
    <t>https://www.ons.gov.uk/methodology/classificationsandstandards/ukstandardindustrialclassificationofeconomicactivities/uksic2007</t>
  </si>
  <si>
    <t xml:space="preserve">Guide to official statistics in development </t>
  </si>
  <si>
    <t>https://www.ons.gov.uk/methodology/methodologytopicsandstatisticalconcepts/guidetoofficialstatisticsindevelopment</t>
  </si>
  <si>
    <t>indirect (provisional)</t>
  </si>
  <si>
    <t>total (provisional)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</si>
</sst>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11" x14ac:knownFonts="1">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sz val="11"/>
      <name val="Calibri"/>
      <family val="2"/>
      <scheme val="minor"/>
    </font>
    <font>
      <sz val="11"/>
      <color theme="1"/>
      <name val="Calibri"/>
      <family val="2"/>
      <scheme val="minor"/>
    </font>
    <font>
      <sz val="11"/>
      <color rgb="FF000000"/>
      <name val="Calibri"/>
      <family val="2"/>
      <scheme val="minor"/>
    </font>
    <font>
      <b/>
      <sz val="15"/>
      <name val="Calibri"/>
      <family val="2"/>
      <scheme val="minor"/>
    </font>
    <font>
      <sz val="18"/>
      <color theme="3"/>
      <name val="Calibri Light"/>
      <family val="2"/>
      <scheme val="major"/>
    </font>
    <font>
      <b/>
      <sz val="15"/>
      <color theme="3"/>
      <name val="Arial"/>
      <family val="2"/>
    </font>
    <font>
      <b/>
      <sz val="13"/>
      <color theme="3"/>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top/>
      <bottom style="thick">
        <color theme="4"/>
      </bottom>
      <diagonal/>
    </border>
    <border>
      <left/>
      <right/>
      <top/>
      <bottom style="thick">
        <color theme="4" tint="0.499984740745262"/>
      </bottom>
      <diagonal/>
    </border>
  </borders>
  <cellStyleXfs count="6">
    <xf numFmtId="0" fontId="0" fillId="0" borderId="0"/>
    <xf numFmtId="0" fontId="2" fillId="0" borderId="0"/>
    <xf numFmtId="43" fontId="5" fillId="0" borderId="0"/>
    <xf numFmtId="0" fontId="8" fillId="0" borderId="0"/>
    <xf numFmtId="0" fontId="9" fillId="0" borderId="12"/>
    <xf numFmtId="0" fontId="10" fillId="0" borderId="13"/>
  </cellStyleXfs>
  <cellXfs count="78">
    <xf numFmtId="0" fontId="0" fillId="0" borderId="0" xfId="0"/>
    <xf numFmtId="0" fontId="1" fillId="0" borderId="0" xfId="0" applyFont="1"/>
    <xf numFmtId="0" fontId="3" fillId="0" borderId="0" xfId="0" applyFont="1"/>
    <xf numFmtId="0" fontId="4" fillId="0" borderId="0" xfId="0" applyFont="1"/>
    <xf numFmtId="3" fontId="4" fillId="0" borderId="0" xfId="0" applyNumberFormat="1" applyFont="1"/>
    <xf numFmtId="164" fontId="4" fillId="0" borderId="0" xfId="0" applyNumberFormat="1" applyFont="1"/>
    <xf numFmtId="0" fontId="3" fillId="0" borderId="7" xfId="0" applyFont="1" applyBorder="1"/>
    <xf numFmtId="165" fontId="0" fillId="0" borderId="0" xfId="2" applyNumberFormat="1" applyFont="1" applyAlignment="1">
      <alignment horizontal="right"/>
    </xf>
    <xf numFmtId="0" fontId="3" fillId="0" borderId="4" xfId="0" applyFont="1" applyBorder="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9" xfId="0" applyFont="1" applyBorder="1"/>
    <xf numFmtId="165" fontId="0" fillId="0" borderId="9" xfId="2" applyNumberFormat="1" applyFont="1" applyBorder="1" applyAlignment="1">
      <alignment horizontal="right"/>
    </xf>
    <xf numFmtId="3" fontId="0" fillId="0" borderId="11" xfId="2" applyNumberFormat="1" applyFont="1" applyBorder="1" applyAlignment="1">
      <alignment horizontal="right"/>
    </xf>
    <xf numFmtId="3" fontId="0" fillId="0" borderId="10" xfId="2" applyNumberFormat="1" applyFont="1" applyBorder="1" applyAlignment="1">
      <alignment horizontal="right"/>
    </xf>
    <xf numFmtId="3" fontId="0" fillId="0" borderId="7" xfId="2" applyNumberFormat="1" applyFont="1" applyBorder="1" applyAlignment="1">
      <alignment horizontal="right"/>
    </xf>
    <xf numFmtId="3" fontId="0" fillId="0" borderId="0" xfId="2" applyNumberFormat="1" applyFont="1" applyAlignment="1">
      <alignment horizontal="right"/>
    </xf>
    <xf numFmtId="3" fontId="3" fillId="0" borderId="0" xfId="0" applyNumberFormat="1" applyFont="1"/>
    <xf numFmtId="0" fontId="3" fillId="0" borderId="1" xfId="0" applyFont="1" applyBorder="1" applyAlignment="1">
      <alignment horizontal="center"/>
    </xf>
    <xf numFmtId="0" fontId="3" fillId="0" borderId="2" xfId="0" applyFont="1" applyBorder="1" applyAlignment="1">
      <alignment horizontal="center"/>
    </xf>
    <xf numFmtId="0" fontId="0" fillId="2" borderId="0" xfId="0" applyFill="1"/>
    <xf numFmtId="0" fontId="1" fillId="2" borderId="0" xfId="0" applyFont="1" applyFill="1"/>
    <xf numFmtId="0" fontId="2" fillId="2" borderId="0" xfId="1" applyFill="1"/>
    <xf numFmtId="3" fontId="0" fillId="0" borderId="8" xfId="2" applyNumberFormat="1" applyFont="1" applyBorder="1" applyAlignment="1">
      <alignment horizontal="right"/>
    </xf>
    <xf numFmtId="3" fontId="0" fillId="0" borderId="9" xfId="2" applyNumberFormat="1" applyFont="1" applyBorder="1" applyAlignment="1">
      <alignment horizontal="right"/>
    </xf>
    <xf numFmtId="165" fontId="0" fillId="0" borderId="7" xfId="2" applyNumberFormat="1" applyFont="1" applyBorder="1" applyAlignment="1">
      <alignment horizontal="right"/>
    </xf>
    <xf numFmtId="3" fontId="0" fillId="0" borderId="2" xfId="2" applyNumberFormat="1" applyFont="1" applyBorder="1" applyAlignment="1">
      <alignment horizontal="right"/>
    </xf>
    <xf numFmtId="3" fontId="0" fillId="0" borderId="3" xfId="2" applyNumberFormat="1" applyFont="1" applyBorder="1" applyAlignment="1">
      <alignment horizontal="right"/>
    </xf>
    <xf numFmtId="3" fontId="4" fillId="0" borderId="7" xfId="0" applyNumberFormat="1" applyFont="1" applyBorder="1" applyAlignment="1">
      <alignment horizontal="right"/>
    </xf>
    <xf numFmtId="3" fontId="4" fillId="0" borderId="10" xfId="0" applyNumberFormat="1" applyFont="1" applyBorder="1" applyAlignment="1">
      <alignment horizontal="right"/>
    </xf>
    <xf numFmtId="3" fontId="4" fillId="0" borderId="0" xfId="0" applyNumberFormat="1" applyFont="1" applyAlignment="1">
      <alignment horizontal="right"/>
    </xf>
    <xf numFmtId="0" fontId="0" fillId="0" borderId="7" xfId="2" applyNumberFormat="1" applyFont="1" applyBorder="1" applyAlignment="1">
      <alignment horizontal="right"/>
    </xf>
    <xf numFmtId="0" fontId="0" fillId="0" borderId="0" xfId="2" applyNumberFormat="1" applyFont="1" applyAlignment="1">
      <alignment horizontal="right"/>
    </xf>
    <xf numFmtId="0" fontId="0" fillId="0" borderId="9" xfId="2" applyNumberFormat="1" applyFont="1" applyBorder="1" applyAlignment="1">
      <alignment horizontal="right"/>
    </xf>
    <xf numFmtId="0" fontId="4" fillId="0" borderId="0" xfId="0" applyFont="1" applyAlignment="1">
      <alignment horizontal="right"/>
    </xf>
    <xf numFmtId="3" fontId="4" fillId="0" borderId="9" xfId="0" applyNumberFormat="1" applyFont="1" applyBorder="1" applyAlignment="1">
      <alignment horizontal="right"/>
    </xf>
    <xf numFmtId="0" fontId="0" fillId="0" borderId="0" xfId="0" applyAlignment="1">
      <alignment horizontal="right"/>
    </xf>
    <xf numFmtId="3" fontId="0" fillId="0" borderId="0" xfId="0" applyNumberFormat="1" applyAlignment="1">
      <alignment horizontal="right"/>
    </xf>
    <xf numFmtId="3" fontId="4" fillId="0" borderId="8" xfId="0" applyNumberFormat="1" applyFont="1" applyBorder="1" applyAlignment="1">
      <alignment horizontal="right"/>
    </xf>
    <xf numFmtId="3" fontId="4" fillId="0" borderId="0" xfId="2" applyNumberFormat="1" applyFont="1" applyAlignment="1">
      <alignment horizontal="right"/>
    </xf>
    <xf numFmtId="3" fontId="4" fillId="0" borderId="8" xfId="2" applyNumberFormat="1" applyFont="1" applyBorder="1" applyAlignment="1">
      <alignment horizontal="right"/>
    </xf>
    <xf numFmtId="3" fontId="4" fillId="0" borderId="9" xfId="2" applyNumberFormat="1" applyFont="1" applyBorder="1" applyAlignment="1">
      <alignment horizontal="right"/>
    </xf>
    <xf numFmtId="3" fontId="4" fillId="0" borderId="7" xfId="2" applyNumberFormat="1" applyFont="1" applyBorder="1" applyAlignment="1">
      <alignment horizontal="right"/>
    </xf>
    <xf numFmtId="0" fontId="0" fillId="0" borderId="0" xfId="0" applyAlignment="1">
      <alignment wrapText="1"/>
    </xf>
    <xf numFmtId="0" fontId="2" fillId="0" borderId="0" xfId="1"/>
    <xf numFmtId="0" fontId="0" fillId="2" borderId="0" xfId="0" applyFill="1" applyAlignment="1">
      <alignment vertical="center" wrapText="1"/>
    </xf>
    <xf numFmtId="0" fontId="6" fillId="2" borderId="0" xfId="0" applyFont="1" applyFill="1" applyAlignment="1">
      <alignment vertical="center" wrapText="1"/>
    </xf>
    <xf numFmtId="0" fontId="1" fillId="2" borderId="0" xfId="0" applyFont="1" applyFill="1" applyAlignment="1">
      <alignment vertical="center" wrapText="1"/>
    </xf>
    <xf numFmtId="0" fontId="0" fillId="0" borderId="0" xfId="0" applyAlignment="1">
      <alignment vertical="center" wrapText="1"/>
    </xf>
    <xf numFmtId="0" fontId="7" fillId="2" borderId="0" xfId="3" applyFont="1" applyFill="1"/>
    <xf numFmtId="0" fontId="3" fillId="0" borderId="0" xfId="4" applyFont="1" applyBorder="1"/>
    <xf numFmtId="0" fontId="7" fillId="2" borderId="0" xfId="4" applyFont="1" applyFill="1" applyBorder="1" applyAlignment="1">
      <alignment vertical="center" wrapText="1"/>
    </xf>
    <xf numFmtId="0" fontId="3" fillId="2" borderId="0" xfId="5" applyFont="1" applyFill="1" applyBorder="1" applyAlignment="1">
      <alignment vertical="center" wrapText="1"/>
    </xf>
    <xf numFmtId="0" fontId="7" fillId="0" borderId="0" xfId="4" applyFont="1" applyBorder="1"/>
    <xf numFmtId="3" fontId="0" fillId="0" borderId="9" xfId="0" applyNumberFormat="1" applyBorder="1" applyAlignment="1">
      <alignment horizontal="right"/>
    </xf>
    <xf numFmtId="3" fontId="0" fillId="0" borderId="8" xfId="0" applyNumberFormat="1" applyBorder="1" applyAlignment="1">
      <alignment horizontal="right"/>
    </xf>
    <xf numFmtId="0" fontId="4" fillId="0" borderId="7" xfId="0" applyFont="1" applyBorder="1" applyAlignment="1">
      <alignment horizontal="right"/>
    </xf>
    <xf numFmtId="0" fontId="4" fillId="0" borderId="9" xfId="0" applyFont="1" applyBorder="1" applyAlignment="1">
      <alignment horizontal="right"/>
    </xf>
    <xf numFmtId="0" fontId="0" fillId="0" borderId="9" xfId="0" applyBorder="1" applyAlignment="1">
      <alignment horizontal="right"/>
    </xf>
    <xf numFmtId="0" fontId="6" fillId="2" borderId="0" xfId="0" applyFont="1" applyFill="1" applyAlignment="1">
      <alignment vertical="center"/>
    </xf>
    <xf numFmtId="0" fontId="6" fillId="0" borderId="0" xfId="0" applyFont="1" applyAlignment="1">
      <alignment vertical="center"/>
    </xf>
    <xf numFmtId="0" fontId="6" fillId="2" borderId="0" xfId="0" applyFont="1" applyFill="1"/>
    <xf numFmtId="0" fontId="6" fillId="2" borderId="0" xfId="0" applyFont="1" applyFill="1" applyAlignment="1">
      <alignment wrapText="1"/>
    </xf>
    <xf numFmtId="0" fontId="4" fillId="0" borderId="0" xfId="0" applyFont="1" applyAlignment="1">
      <alignment horizontal="left" vertical="center"/>
    </xf>
    <xf numFmtId="0" fontId="0" fillId="2" borderId="0" xfId="0" applyFill="1" applyAlignment="1">
      <alignment vertical="center"/>
    </xf>
    <xf numFmtId="0" fontId="2" fillId="2" borderId="0" xfId="1" applyFill="1" applyAlignment="1">
      <alignment vertical="center"/>
    </xf>
    <xf numFmtId="0" fontId="3" fillId="0" borderId="5" xfId="0" applyFont="1" applyBorder="1" applyAlignment="1">
      <alignment horizontal="right" wrapText="1"/>
    </xf>
    <xf numFmtId="3" fontId="0" fillId="0" borderId="1" xfId="2" applyNumberFormat="1" applyFont="1" applyBorder="1" applyAlignment="1">
      <alignment horizontal="right"/>
    </xf>
    <xf numFmtId="3" fontId="1" fillId="0" borderId="1" xfId="2" applyNumberFormat="1" applyFont="1" applyBorder="1" applyAlignment="1">
      <alignment horizontal="right"/>
    </xf>
    <xf numFmtId="3" fontId="1" fillId="0" borderId="5" xfId="2" applyNumberFormat="1" applyFont="1" applyBorder="1" applyAlignment="1">
      <alignment horizontal="right"/>
    </xf>
    <xf numFmtId="3" fontId="1" fillId="0" borderId="3" xfId="2" applyNumberFormat="1" applyFont="1" applyBorder="1" applyAlignment="1">
      <alignment horizontal="right"/>
    </xf>
    <xf numFmtId="3" fontId="3" fillId="0" borderId="1" xfId="0" applyNumberFormat="1" applyFont="1" applyBorder="1" applyAlignment="1">
      <alignment horizontal="right"/>
    </xf>
    <xf numFmtId="3" fontId="3" fillId="0" borderId="5" xfId="0" applyNumberFormat="1" applyFont="1" applyBorder="1" applyAlignment="1">
      <alignment horizontal="right"/>
    </xf>
    <xf numFmtId="164" fontId="3" fillId="0" borderId="3" xfId="0" applyNumberFormat="1" applyFont="1" applyBorder="1" applyAlignment="1">
      <alignment horizontal="righ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6" xfId="0" applyFont="1" applyBorder="1" applyAlignment="1">
      <alignment horizontal="right" wrapText="1"/>
    </xf>
    <xf numFmtId="164" fontId="4" fillId="0" borderId="0" xfId="0" applyNumberFormat="1" applyFont="1" applyAlignment="1">
      <alignment horizontal="right"/>
    </xf>
  </cellXfs>
  <cellStyles count="6">
    <cellStyle name="Comma" xfId="2" builtinId="3"/>
    <cellStyle name="Heading 1" xfId="4" builtinId="16"/>
    <cellStyle name="Heading 2" xfId="5" builtinId="17"/>
    <cellStyle name="Hyperlink" xfId="1" builtinId="8"/>
    <cellStyle name="Normal" xfId="0" builtinId="0"/>
    <cellStyle name="Title" xfId="3" builtinId="15"/>
  </cellStyles>
  <dxfs count="3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condense val="0"/>
        <extend val="0"/>
        <outline val="0"/>
        <shadow val="0"/>
        <vertAlign val="baseline"/>
        <sz val="11"/>
        <color auto="1"/>
        <name val="Calibri"/>
        <family val="2"/>
        <scheme val="minor"/>
      </font>
      <numFmt numFmtId="3" formatCode="#,##0"/>
      <alignment horizontal="right" vertical="bottom" textRotation="0" wrapText="0" indent="0" justifyLastLine="0" shrinkToFit="0" readingOrder="0"/>
      <border diagonalUp="0" diagonalDown="0">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textRotation="0" wrapText="0" indent="0" justifyLastLine="0" shrinkToFit="0" readingOrder="0"/>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textRotation="0" wrapText="0" indent="0" justifyLastLine="0" shrinkToFit="0" readingOrder="0"/>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textRotation="0" wrapText="0" indent="0" justifyLastLine="0" shrinkToFit="0" readingOrder="0"/>
      <border diagonalUp="0" diagonalDown="0">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textRotation="0" wrapText="0" indent="0" justifyLastLine="0" shrinkToFit="0" readingOrder="0"/>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textRotation="0" wrapText="0" indent="0" justifyLastLine="0" shrinkToFit="0" readingOrder="0"/>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textRotation="0" wrapText="0" indent="0" justifyLastLine="0" shrinkToFit="0" readingOrder="0"/>
      <border diagonalUp="0" diagonalDown="0">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textRotation="0" wrapText="0" indent="0" justifyLastLine="0" shrinkToFit="0" readingOrder="0"/>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textRotation="0" wrapText="0" indent="0" justifyLastLine="0" shrinkToFit="0" readingOrder="0"/>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border outline="0">
        <left/>
        <right style="thin">
          <color indexed="64"/>
        </right>
        <top/>
        <bottom/>
      </border>
    </dxf>
    <dxf>
      <font>
        <strike val="0"/>
        <condense val="0"/>
        <extend val="0"/>
        <outline val="0"/>
        <shadow val="0"/>
        <vertAlign val="baseline"/>
        <sz val="11"/>
        <color auto="1"/>
        <name val="Calibri"/>
        <family val="2"/>
        <scheme val="minor"/>
      </font>
      <alignment horizontal="right" vertical="bottom"/>
    </dxf>
    <dxf>
      <border outline="0">
        <left/>
        <right/>
        <top/>
        <bottom style="thin">
          <color indexed="64"/>
        </bottom>
      </border>
    </dxf>
    <dxf>
      <font>
        <b/>
        <strike val="0"/>
        <condense val="0"/>
        <extend val="0"/>
        <outline val="0"/>
        <shadow val="0"/>
        <vertAlign val="baseline"/>
        <sz val="11"/>
        <color auto="1"/>
        <name val="Calibri"/>
        <family val="2"/>
        <scheme val="minor"/>
      </font>
      <alignment horizontal="center" vertical="bottom"/>
    </dxf>
    <dxf>
      <font>
        <strike val="0"/>
        <condense val="0"/>
        <extend val="0"/>
        <outline val="0"/>
        <shadow val="0"/>
        <vertAlign val="baseline"/>
        <sz val="11"/>
        <color auto="1"/>
        <name val="Calibri"/>
        <family val="2"/>
        <scheme val="minor"/>
      </font>
      <numFmt numFmtId="3" formatCode="#,##0"/>
      <alignment horizontal="right" vertical="bottom" textRotation="0" wrapText="0" indent="0" justifyLastLine="0" shrinkToFit="0" readingOrder="0"/>
      <border diagonalUp="0" diagonalDown="0">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textRotation="0" wrapText="0" indent="0" justifyLastLine="0" shrinkToFit="0" readingOrder="0"/>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textRotation="0" wrapText="0" indent="0" justifyLastLine="0" shrinkToFit="0" readingOrder="0"/>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165" formatCode="_-* #,##0_-;\-* #,##0_-;_-* &quot;-&quot;??_-;_-@_-"/>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border outline="0">
        <left/>
        <right style="thin">
          <color indexed="64"/>
        </right>
        <top/>
        <bottom/>
      </border>
    </dxf>
    <dxf>
      <font>
        <strike val="0"/>
        <condense val="0"/>
        <extend val="0"/>
        <outline val="0"/>
        <shadow val="0"/>
        <vertAlign val="baseline"/>
        <sz val="11"/>
        <color auto="1"/>
        <name val="Calibri"/>
        <family val="2"/>
        <scheme val="minor"/>
      </font>
      <alignment horizontal="right" vertical="bottom"/>
    </dxf>
    <dxf>
      <border outline="0">
        <left/>
        <right/>
        <top/>
        <bottom style="thin">
          <color indexed="64"/>
        </bottom>
      </border>
    </dxf>
    <dxf>
      <font>
        <b/>
        <strike val="0"/>
        <condense val="0"/>
        <extend val="0"/>
        <outline val="0"/>
        <shadow val="0"/>
        <vertAlign val="baseline"/>
        <sz val="11"/>
        <color auto="1"/>
        <name val="Calibri"/>
        <family val="2"/>
        <scheme val="minor"/>
      </font>
      <alignment horizontal="center" vertical="bottom"/>
    </dxf>
    <dxf>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dxf>
    <dxf>
      <font>
        <strike val="0"/>
        <condense val="0"/>
        <extend val="0"/>
        <outline val="0"/>
        <shadow val="0"/>
        <vertAlign val="baseline"/>
        <sz val="11"/>
        <color auto="1"/>
        <name val="Calibri"/>
        <family val="2"/>
        <scheme val="minor"/>
      </font>
      <numFmt numFmtId="164" formatCode="#,##0.0"/>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border outline="0">
        <left/>
        <right style="thin">
          <color indexed="64"/>
        </right>
        <top/>
        <bottom/>
      </border>
    </dxf>
    <dxf>
      <font>
        <strike val="0"/>
        <condense val="0"/>
        <extend val="0"/>
        <outline val="0"/>
        <shadow val="0"/>
        <vertAlign val="baseline"/>
        <sz val="11"/>
        <color auto="1"/>
        <name val="Calibri"/>
        <family val="2"/>
        <scheme val="minor"/>
      </font>
      <numFmt numFmtId="164" formatCode="#,##0.0"/>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auto="1"/>
        <name val="Calibri"/>
        <family val="2"/>
        <scheme val="minor"/>
      </font>
    </dxf>
    <dxf>
      <font>
        <strike val="0"/>
        <condense val="0"/>
        <extend val="0"/>
        <outline val="0"/>
        <shadow val="0"/>
        <vertAlign val="baseline"/>
        <sz val="11"/>
        <color auto="1"/>
        <name val="Calibri"/>
        <family val="2"/>
        <scheme val="minor"/>
      </font>
      <numFmt numFmtId="3" formatCode="#,##0"/>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border outline="0">
        <left style="thin">
          <color indexed="64"/>
        </left>
        <right/>
        <top/>
        <bottom/>
      </border>
    </dxf>
    <dxf>
      <font>
        <strike val="0"/>
        <condense val="0"/>
        <extend val="0"/>
        <outline val="0"/>
        <shadow val="0"/>
        <vertAlign val="baseline"/>
        <sz val="11"/>
        <color auto="1"/>
        <name val="Calibri"/>
        <family val="2"/>
        <scheme val="minor"/>
      </font>
      <numFmt numFmtId="3" formatCode="#,##0"/>
      <border>
        <left style="thin">
          <color indexed="64"/>
        </left>
        <right/>
        <top/>
        <bottom/>
        <vertical/>
        <horizontal/>
      </border>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right style="thin">
          <color indexed="64"/>
        </right>
        <top/>
        <bottom/>
      </border>
    </dxf>
    <dxf>
      <font>
        <strike val="0"/>
        <condense val="0"/>
        <extend val="0"/>
        <outline val="0"/>
        <shadow val="0"/>
        <vertAlign val="baseline"/>
        <sz val="11"/>
        <color theme="1"/>
        <name val="Calibri"/>
        <family val="2"/>
        <scheme val="minor"/>
      </font>
      <numFmt numFmtId="3" formatCode="#,##0"/>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style="thin">
          <color indexed="64"/>
        </left>
        <right/>
        <top/>
        <bottom/>
      </border>
    </dxf>
    <dxf>
      <font>
        <strike val="0"/>
        <condense val="0"/>
        <extend val="0"/>
        <outline val="0"/>
        <shadow val="0"/>
        <vertAlign val="baseline"/>
        <sz val="11"/>
        <color theme="1"/>
        <name val="Calibri"/>
        <family val="2"/>
        <scheme val="minor"/>
      </font>
      <numFmt numFmtId="3" formatCode="#,##0"/>
      <alignment horizontal="right" vertical="bottom"/>
      <border>
        <left style="thin">
          <color indexed="64"/>
        </left>
        <right/>
        <top/>
        <bottom/>
        <vertical/>
        <horizontal/>
      </border>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right style="thin">
          <color indexed="64"/>
        </right>
        <top/>
        <bottom/>
      </border>
    </dxf>
    <dxf>
      <font>
        <strike val="0"/>
        <condense val="0"/>
        <extend val="0"/>
        <outline val="0"/>
        <shadow val="0"/>
        <vertAlign val="baseline"/>
        <sz val="11"/>
        <color theme="1"/>
        <name val="Calibri"/>
        <family val="2"/>
        <scheme val="minor"/>
      </font>
      <numFmt numFmtId="3" formatCode="#,##0"/>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right style="thin">
          <color indexed="64"/>
        </right>
        <top/>
        <bottom/>
      </border>
    </dxf>
    <dxf>
      <font>
        <strike val="0"/>
        <condense val="0"/>
        <extend val="0"/>
        <outline val="0"/>
        <shadow val="0"/>
        <vertAlign val="baseline"/>
        <sz val="11"/>
        <color theme="1"/>
        <name val="Calibri"/>
        <family val="2"/>
        <scheme val="minor"/>
      </font>
      <numFmt numFmtId="3" formatCode="#,##0"/>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right style="thin">
          <color indexed="64"/>
        </right>
        <top/>
        <bottom/>
      </border>
    </dxf>
    <dxf>
      <font>
        <strike val="0"/>
        <condense val="0"/>
        <extend val="0"/>
        <outline val="0"/>
        <shadow val="0"/>
        <vertAlign val="baseline"/>
        <sz val="11"/>
        <color theme="1"/>
        <name val="Calibri"/>
        <family val="2"/>
        <scheme val="minor"/>
      </font>
      <numFmt numFmtId="3" formatCode="#,##0"/>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style="thin">
          <color indexed="64"/>
        </left>
        <right/>
        <top/>
        <bottom/>
      </border>
    </dxf>
    <dxf>
      <font>
        <strike val="0"/>
        <condense val="0"/>
        <extend val="0"/>
        <outline val="0"/>
        <shadow val="0"/>
        <vertAlign val="baseline"/>
        <sz val="11"/>
        <color theme="1"/>
        <name val="Calibri"/>
        <family val="2"/>
        <scheme val="minor"/>
      </font>
      <numFmt numFmtId="3" formatCode="#,##0"/>
      <alignment horizontal="right" vertical="bottom"/>
      <border>
        <left style="thin">
          <color indexed="64"/>
        </left>
        <right/>
        <top/>
        <bottom/>
        <vertical/>
        <horizontal/>
      </border>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right style="thin">
          <color indexed="64"/>
        </right>
        <top/>
        <bottom/>
      </border>
    </dxf>
    <dxf>
      <font>
        <strike val="0"/>
        <condense val="0"/>
        <extend val="0"/>
        <outline val="0"/>
        <shadow val="0"/>
        <vertAlign val="baseline"/>
        <sz val="11"/>
        <color theme="1"/>
        <name val="Calibri"/>
        <family val="2"/>
        <scheme val="minor"/>
      </font>
      <numFmt numFmtId="3" formatCode="#,##0"/>
      <alignment horizontal="right" vertical="bottom"/>
      <border>
        <left/>
        <right style="thin">
          <color indexed="64"/>
        </right>
        <top/>
        <bottom/>
        <vertical/>
        <horizontal/>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style="thin">
          <color indexed="64"/>
        </left>
        <right/>
        <top/>
        <bottom/>
      </border>
    </dxf>
    <dxf>
      <font>
        <strike val="0"/>
        <condense val="0"/>
        <extend val="0"/>
        <outline val="0"/>
        <shadow val="0"/>
        <vertAlign val="baseline"/>
        <sz val="11"/>
        <color theme="1"/>
        <name val="Calibri"/>
        <family val="2"/>
        <scheme val="minor"/>
      </font>
      <numFmt numFmtId="3" formatCode="#,##0"/>
      <alignment horizontal="right" vertical="bottom"/>
      <border>
        <left style="thin">
          <color indexed="64"/>
        </left>
        <right/>
        <top/>
        <bottom/>
        <vertical/>
        <horizontal/>
      </border>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border outline="0">
        <left style="thin">
          <color indexed="64"/>
        </left>
        <right style="thin">
          <color indexed="64"/>
        </right>
        <top/>
        <bottom/>
      </border>
    </dxf>
    <dxf>
      <border outline="0">
        <left/>
        <right/>
        <top/>
        <bottom style="thin">
          <color indexed="64"/>
        </bottom>
      </border>
    </dxf>
    <dxf>
      <font>
        <b/>
        <strike val="0"/>
        <condense val="0"/>
        <extend val="0"/>
        <outline val="0"/>
        <shadow val="0"/>
        <vertAlign val="baseline"/>
        <sz val="11"/>
        <color auto="1"/>
        <name val="Calibri"/>
        <family val="2"/>
        <scheme val="minor"/>
      </font>
      <alignment horizontal="center" vertical="bottom"/>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bottom/>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numFmt numFmtId="3" formatCode="#,##0"/>
      <fill>
        <patternFill patternType="none">
          <fgColor indexed="64"/>
          <bgColor auto="1"/>
        </patternFill>
      </fill>
      <alignment horizontal="right" vertical="bottom" textRotation="0" wrapText="0" indent="0" justifyLastLine="0" shrinkToFit="0" readingOrder="0"/>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auto="1"/>
        </patternFill>
      </fill>
      <alignment horizontal="right" vertical="bottom" textRotation="0" wrapText="0" indent="0" justifyLastLine="0" shrinkToFit="0" readingOrder="0"/>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numFmt numFmtId="3" formatCode="#,##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bottom/>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numFmt numFmtId="3" formatCode="#,##0"/>
      <fill>
        <patternFill patternType="none">
          <fgColor indexed="64"/>
          <bgColor auto="1"/>
        </patternFill>
      </fill>
      <alignment horizontal="right" vertical="bottom" textRotation="0" wrapText="0" indent="0" justifyLastLine="0" shrinkToFit="0" readingOrder="0"/>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auto="1"/>
        </patternFill>
      </fill>
      <alignment horizontal="right" vertical="bottom" textRotation="0" wrapText="0" indent="0" justifyLastLine="0" shrinkToFit="0" readingOrder="0"/>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ill>
        <patternFill patternType="none">
          <fgColor indexed="64"/>
          <bgColor auto="1"/>
        </patternFill>
      </fill>
      <border diagonalUp="0" diagonalDown="0" outline="0">
        <left/>
        <right style="thin">
          <color indexed="64"/>
        </right>
      </border>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ill>
        <patternFill patternType="none">
          <fgColor indexed="64"/>
          <bgColor auto="1"/>
        </patternFill>
      </fill>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dxf>
    <dxf>
      <font>
        <strike val="0"/>
        <condense val="0"/>
        <extend val="0"/>
        <outline val="0"/>
        <shadow val="0"/>
        <vertAlign val="baseline"/>
        <sz val="11"/>
        <color auto="1"/>
        <name val="Calibri"/>
        <family val="2"/>
        <scheme val="minor"/>
      </font>
      <numFmt numFmtId="164" formatCode="#,##0.0"/>
      <fill>
        <patternFill patternType="none">
          <fgColor indexed="64"/>
          <bgColor auto="1"/>
        </patternFill>
      </fill>
      <border diagonalUp="0" diagonalDown="0" outline="0">
        <left style="thin">
          <color indexed="64"/>
        </left>
        <right/>
      </border>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auto="1"/>
        <name val="Calibri"/>
        <family val="2"/>
        <scheme val="minor"/>
      </font>
      <border outline="0">
        <left/>
        <right style="thin">
          <color indexed="64"/>
        </right>
        <top/>
        <bottom/>
      </border>
    </dxf>
    <dxf>
      <font>
        <strike val="0"/>
        <condense val="0"/>
        <extend val="0"/>
        <outline val="0"/>
        <shadow val="0"/>
        <vertAlign val="baseline"/>
        <sz val="11"/>
        <color auto="1"/>
        <name val="Calibri"/>
        <family val="2"/>
        <scheme val="minor"/>
      </font>
      <numFmt numFmtId="164" formatCode="#,##0.0"/>
      <fill>
        <patternFill patternType="none">
          <fgColor indexed="64"/>
          <bgColor auto="1"/>
        </patternFill>
      </fill>
      <border outline="0">
        <left/>
        <right style="thin">
          <color indexed="64"/>
        </right>
        <top/>
        <bottom/>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auto="1"/>
        <name val="Calibri"/>
        <family val="2"/>
        <scheme val="minor"/>
      </font>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auto="1"/>
        <name val="Calibri"/>
        <family val="2"/>
        <scheme val="minor"/>
      </font>
      <border outline="0">
        <left style="thin">
          <color indexed="64"/>
        </left>
        <right/>
        <top/>
        <bottom/>
      </border>
    </dxf>
    <dxf>
      <font>
        <strike val="0"/>
        <condense val="0"/>
        <extend val="0"/>
        <outline val="0"/>
        <shadow val="0"/>
        <vertAlign val="baseline"/>
        <sz val="11"/>
        <color auto="1"/>
        <name val="Calibri"/>
        <family val="2"/>
        <scheme val="minor"/>
      </font>
      <numFmt numFmtId="3" formatCode="#,##0"/>
      <fill>
        <patternFill patternType="none">
          <fgColor indexed="64"/>
          <bgColor auto="1"/>
        </patternFill>
      </fill>
      <border outline="0">
        <left style="thin">
          <color indexed="64"/>
        </left>
        <right/>
        <top/>
        <bottom/>
      </border>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right style="thin">
          <color indexed="64"/>
        </right>
        <top/>
        <bottom/>
      </border>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border outline="0">
        <left/>
        <right style="thin">
          <color indexed="64"/>
        </right>
        <top/>
        <bottom/>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style="thin">
          <color indexed="64"/>
        </left>
        <right/>
        <top/>
        <bottom/>
      </border>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border outline="0">
        <left style="thin">
          <color indexed="64"/>
        </left>
        <right/>
        <top/>
        <bottom/>
      </border>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right style="thin">
          <color indexed="64"/>
        </right>
        <top/>
        <bottom/>
      </border>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border outline="0">
        <left/>
        <right style="thin">
          <color indexed="64"/>
        </right>
        <top/>
        <bottom/>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right style="thin">
          <color indexed="64"/>
        </right>
        <top/>
        <bottom/>
      </border>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border outline="0">
        <left/>
        <right style="thin">
          <color indexed="64"/>
        </right>
        <top/>
        <bottom/>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right style="thin">
          <color indexed="64"/>
        </right>
        <top/>
        <bottom/>
      </border>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border outline="0">
        <left/>
        <right style="thin">
          <color indexed="64"/>
        </right>
        <top/>
        <bottom/>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style="thin">
          <color indexed="64"/>
        </left>
        <right/>
        <top/>
        <bottom/>
      </border>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border outline="0">
        <left style="thin">
          <color indexed="64"/>
        </left>
        <right/>
        <top/>
        <bottom/>
      </border>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right style="thin">
          <color indexed="64"/>
        </right>
        <top/>
        <bottom/>
      </border>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border outline="0">
        <left/>
        <right style="thin">
          <color indexed="64"/>
        </right>
        <top/>
        <bottom/>
      </border>
    </dxf>
    <dxf>
      <font>
        <b/>
        <strike val="0"/>
        <condense val="0"/>
        <extend val="0"/>
        <outline val="0"/>
        <shadow val="0"/>
        <vertAlign val="baseline"/>
        <sz val="11"/>
        <color auto="1"/>
        <name val="Calibri"/>
        <family val="2"/>
        <scheme val="minor"/>
      </font>
      <alignment horizontal="center" vertical="bottom"/>
      <border outline="0">
        <left/>
        <right style="thin">
          <color indexed="64"/>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dxf>
    <dxf>
      <font>
        <b/>
        <strike val="0"/>
        <condense val="0"/>
        <extend val="0"/>
        <outline val="0"/>
        <shadow val="0"/>
        <vertAlign val="baseline"/>
        <sz val="11"/>
        <color auto="1"/>
        <name val="Calibri"/>
        <family val="2"/>
        <scheme val="minor"/>
      </font>
      <alignment horizontal="center" vertical="bottom"/>
      <border outline="0">
        <left/>
        <right/>
        <top/>
        <bottom style="thin">
          <color indexed="64"/>
        </bottom>
      </border>
    </dxf>
    <dxf>
      <font>
        <strike val="0"/>
        <condense val="0"/>
        <extend val="0"/>
        <outline val="0"/>
        <shadow val="0"/>
        <vertAlign val="baseline"/>
        <sz val="11"/>
        <color theme="1"/>
        <name val="Calibri"/>
        <family val="2"/>
        <scheme val="minor"/>
      </font>
      <numFmt numFmtId="0" formatCode="General"/>
      <alignment horizontal="right" vertical="bottom"/>
      <border outline="0">
        <left style="thin">
          <color indexed="64"/>
        </left>
        <right/>
        <top/>
        <bottom/>
      </border>
    </dxf>
    <dxf>
      <font>
        <strike val="0"/>
        <condense val="0"/>
        <extend val="0"/>
        <outline val="0"/>
        <shadow val="0"/>
        <vertAlign val="baseline"/>
        <sz val="11"/>
        <color theme="1"/>
        <name val="Calibri"/>
        <family val="2"/>
        <scheme val="minor"/>
      </font>
      <numFmt numFmtId="3" formatCode="#,##0"/>
      <fill>
        <patternFill patternType="none">
          <fgColor indexed="64"/>
          <bgColor auto="1"/>
        </patternFill>
      </fill>
      <alignment horizontal="right" vertical="bottom"/>
      <border outline="0">
        <left style="thin">
          <color indexed="64"/>
        </left>
        <right/>
        <top/>
        <bottom/>
      </border>
    </dxf>
    <dxf>
      <font>
        <b/>
        <strike val="0"/>
        <condense val="0"/>
        <extend val="0"/>
        <outline val="0"/>
        <shadow val="0"/>
        <vertAlign val="baseline"/>
        <sz val="11"/>
        <color auto="1"/>
        <name val="Calibri"/>
        <family val="2"/>
        <scheme val="minor"/>
      </font>
      <alignment horizontal="center" vertical="bottom"/>
      <border outline="0">
        <left style="thin">
          <color indexed="64"/>
        </left>
        <right/>
        <top/>
        <bottom style="thin">
          <color indexed="64"/>
        </bottom>
      </border>
    </dxf>
    <dxf>
      <fill>
        <patternFill patternType="none">
          <fgColor indexed="64"/>
          <bgColor auto="1"/>
        </patternFill>
      </fill>
    </dxf>
    <dxf>
      <border outline="0">
        <left style="thin">
          <color indexed="64"/>
        </left>
        <right style="thin">
          <color indexed="64"/>
        </right>
        <top/>
        <bottom/>
      </border>
    </dxf>
    <dxf>
      <fill>
        <patternFill patternType="none">
          <fgColor indexed="64"/>
          <bgColor auto="1"/>
        </patternFill>
      </fill>
    </dxf>
    <dxf>
      <border outline="0">
        <left/>
        <right/>
        <top/>
        <bottom style="thin">
          <color indexed="64"/>
        </bottom>
      </border>
    </dxf>
    <dxf>
      <font>
        <b/>
        <strike val="0"/>
        <condense val="0"/>
        <extend val="0"/>
        <outline val="0"/>
        <shadow val="0"/>
        <vertAlign val="baseline"/>
        <sz val="11"/>
        <color auto="1"/>
        <name val="Calibri"/>
        <family val="2"/>
        <scheme val="minor"/>
      </font>
      <fill>
        <patternFill patternType="none">
          <fgColor indexed="64"/>
          <bgColor auto="1"/>
        </patternFill>
      </fill>
      <alignment horizontal="center"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AE23" headerRowCount="0" headerRowDxfId="316" dataDxfId="314" totalsRowDxfId="312" headerRowBorderDxfId="315" tableBorderDxfId="313">
  <tableColumns count="30">
    <tableColumn id="4" xr3:uid="{00000000-0010-0000-0000-000004000000}" name="Column4" headerRowDxfId="311" dataDxfId="310" totalsRowDxfId="309" dataCellStyle="Comma"/>
    <tableColumn id="5" xr3:uid="{00000000-0010-0000-0000-000005000000}" name="Column5" headerRowDxfId="308" dataDxfId="307" totalsRowDxfId="306" dataCellStyle="Comma"/>
    <tableColumn id="6" xr3:uid="{00000000-0010-0000-0000-000006000000}" name="Column6" headerRowDxfId="305" dataDxfId="304" totalsRowDxfId="303" dataCellStyle="Comma"/>
    <tableColumn id="7" xr3:uid="{00000000-0010-0000-0000-000007000000}" name="Column7" headerRowDxfId="302" dataDxfId="301" totalsRowDxfId="300" dataCellStyle="Comma"/>
    <tableColumn id="8" xr3:uid="{00000000-0010-0000-0000-000008000000}" name="Column8" headerRowDxfId="299" dataDxfId="298" totalsRowDxfId="297" dataCellStyle="Comma"/>
    <tableColumn id="9" xr3:uid="{00000000-0010-0000-0000-000009000000}" name="Column9" headerRowDxfId="296" dataDxfId="295" totalsRowDxfId="294" dataCellStyle="Comma"/>
    <tableColumn id="10" xr3:uid="{00000000-0010-0000-0000-00000A000000}" name="Column10" headerRowDxfId="293" dataDxfId="292" totalsRowDxfId="291" dataCellStyle="Comma"/>
    <tableColumn id="11" xr3:uid="{00000000-0010-0000-0000-00000B000000}" name="Column11" headerRowDxfId="290" dataDxfId="289" totalsRowDxfId="288" dataCellStyle="Comma"/>
    <tableColumn id="12" xr3:uid="{00000000-0010-0000-0000-00000C000000}" name="Column12" headerRowDxfId="287" dataDxfId="286" totalsRowDxfId="285" dataCellStyle="Comma"/>
    <tableColumn id="13" xr3:uid="{00000000-0010-0000-0000-00000D000000}" name="Column13" headerRowDxfId="284" dataDxfId="283" totalsRowDxfId="282" dataCellStyle="Comma"/>
    <tableColumn id="14" xr3:uid="{00000000-0010-0000-0000-00000E000000}" name="Column14" headerRowDxfId="281" dataDxfId="280" totalsRowDxfId="279" dataCellStyle="Comma"/>
    <tableColumn id="15" xr3:uid="{00000000-0010-0000-0000-00000F000000}" name="Column15" headerRowDxfId="278" dataDxfId="277" totalsRowDxfId="276" dataCellStyle="Comma"/>
    <tableColumn id="16" xr3:uid="{00000000-0010-0000-0000-000010000000}" name="Column16" headerRowDxfId="275" dataDxfId="274" totalsRowDxfId="273" dataCellStyle="Comma"/>
    <tableColumn id="17" xr3:uid="{00000000-0010-0000-0000-000011000000}" name="Column17" headerRowDxfId="272" dataDxfId="271" totalsRowDxfId="270" dataCellStyle="Comma"/>
    <tableColumn id="18" xr3:uid="{00000000-0010-0000-0000-000012000000}" name="Column18" headerRowDxfId="269" dataDxfId="268" totalsRowDxfId="267" dataCellStyle="Comma"/>
    <tableColumn id="19" xr3:uid="{00000000-0010-0000-0000-000013000000}" name="Column19" headerRowDxfId="266" dataDxfId="265" totalsRowDxfId="264" dataCellStyle="Comma"/>
    <tableColumn id="20" xr3:uid="{00000000-0010-0000-0000-000014000000}" name="Column20" headerRowDxfId="263" dataDxfId="262" totalsRowDxfId="261" dataCellStyle="Comma"/>
    <tableColumn id="21" xr3:uid="{00000000-0010-0000-0000-000015000000}" name="Column21" headerRowDxfId="260" dataDxfId="259" totalsRowDxfId="258" dataCellStyle="Comma"/>
    <tableColumn id="22" xr3:uid="{00000000-0010-0000-0000-000016000000}" name="Column22" headerRowDxfId="257" dataDxfId="256" totalsRowDxfId="255"/>
    <tableColumn id="23" xr3:uid="{00000000-0010-0000-0000-000017000000}" name="Column23" headerRowDxfId="254" dataDxfId="253" totalsRowDxfId="252"/>
    <tableColumn id="24" xr3:uid="{00000000-0010-0000-0000-000018000000}" name="Column24" headerRowDxfId="251" dataDxfId="250" totalsRowDxfId="249"/>
    <tableColumn id="25" xr3:uid="{00000000-0010-0000-0000-000019000000}" name="Column25" headerRowDxfId="248" dataDxfId="247" totalsRowDxfId="246"/>
    <tableColumn id="26" xr3:uid="{00000000-0010-0000-0000-00001A000000}" name="Column26" headerRowDxfId="245" dataDxfId="244"/>
    <tableColumn id="27" xr3:uid="{00000000-0010-0000-0000-00001B000000}" name="Column27" totalsRowFunction="count" headerRowDxfId="243" dataDxfId="242"/>
    <tableColumn id="1" xr3:uid="{F0F02C51-5AC0-4729-B2F0-5D1E0E9E85C4}" name="Column1" headerRowDxfId="241" dataDxfId="240"/>
    <tableColumn id="2" xr3:uid="{4336214C-95FC-43C1-BDB4-092D19DAEC91}" name="Column2" headerRowDxfId="239" dataDxfId="238"/>
    <tableColumn id="3" xr3:uid="{7BA48E7E-A3FA-4D05-B0E9-E836F8E86F70}" name="Column3" headerRowDxfId="237" dataDxfId="236"/>
    <tableColumn id="28" xr3:uid="{1D4F6406-39E2-44F5-8721-8504367D62CA}" name="Column28" headerRowDxfId="235" dataDxfId="234"/>
    <tableColumn id="29" xr3:uid="{3DABE741-78DA-4CB4-B009-77A7E0CC7D6C}" name="Column29" headerRowDxfId="233" dataDxfId="232"/>
    <tableColumn id="30" xr3:uid="{5A0322B0-40A5-47F7-877C-68C0D37E4221}" name="Column30" headerRowDxfId="231" dataDxfId="230"/>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4" displayName="Table14" ref="B4:AE23" headerRowCount="0" headerRowDxfId="229" headerRowBorderDxfId="228" tableBorderDxfId="227">
  <tableColumns count="30">
    <tableColumn id="4" xr3:uid="{00000000-0010-0000-0100-000004000000}" name="Column4" headerRowDxfId="226" dataDxfId="225" totalsRowDxfId="224" dataCellStyle="Comma"/>
    <tableColumn id="5" xr3:uid="{00000000-0010-0000-0100-000005000000}" name="Column5" headerRowDxfId="223" dataDxfId="222" totalsRowDxfId="221" dataCellStyle="Comma"/>
    <tableColumn id="6" xr3:uid="{00000000-0010-0000-0100-000006000000}" name="Column6" headerRowDxfId="220" dataDxfId="219" totalsRowDxfId="218" dataCellStyle="Comma"/>
    <tableColumn id="7" xr3:uid="{00000000-0010-0000-0100-000007000000}" name="Column7" headerRowDxfId="217" dataDxfId="216" totalsRowDxfId="215" dataCellStyle="Comma"/>
    <tableColumn id="8" xr3:uid="{00000000-0010-0000-0100-000008000000}" name="Column8" headerRowDxfId="214" dataDxfId="213" totalsRowDxfId="212" dataCellStyle="Comma"/>
    <tableColumn id="9" xr3:uid="{00000000-0010-0000-0100-000009000000}" name="Column9" headerRowDxfId="211" dataDxfId="210" totalsRowDxfId="209" dataCellStyle="Comma"/>
    <tableColumn id="10" xr3:uid="{00000000-0010-0000-0100-00000A000000}" name="Column10" headerRowDxfId="208" dataDxfId="207" totalsRowDxfId="206" dataCellStyle="Comma"/>
    <tableColumn id="11" xr3:uid="{00000000-0010-0000-0100-00000B000000}" name="Column11" headerRowDxfId="205" dataDxfId="204" totalsRowDxfId="203" dataCellStyle="Comma"/>
    <tableColumn id="12" xr3:uid="{00000000-0010-0000-0100-00000C000000}" name="Column12" headerRowDxfId="202" dataDxfId="201" totalsRowDxfId="200" dataCellStyle="Comma"/>
    <tableColumn id="13" xr3:uid="{00000000-0010-0000-0100-00000D000000}" name="Column13" headerRowDxfId="199" dataDxfId="198" totalsRowDxfId="197" dataCellStyle="Comma"/>
    <tableColumn id="14" xr3:uid="{00000000-0010-0000-0100-00000E000000}" name="Column14" headerRowDxfId="196" dataDxfId="195" totalsRowDxfId="194" dataCellStyle="Comma"/>
    <tableColumn id="15" xr3:uid="{00000000-0010-0000-0100-00000F000000}" name="Column15" headerRowDxfId="193" dataDxfId="192" totalsRowDxfId="191" dataCellStyle="Comma"/>
    <tableColumn id="16" xr3:uid="{00000000-0010-0000-0100-000010000000}" name="Column16" headerRowDxfId="190" dataDxfId="189" totalsRowDxfId="188" dataCellStyle="Comma"/>
    <tableColumn id="17" xr3:uid="{00000000-0010-0000-0100-000011000000}" name="Column17" headerRowDxfId="187" dataDxfId="186" totalsRowDxfId="185" dataCellStyle="Comma"/>
    <tableColumn id="18" xr3:uid="{00000000-0010-0000-0100-000012000000}" name="Column18" headerRowDxfId="184" dataDxfId="183" totalsRowDxfId="182" dataCellStyle="Comma"/>
    <tableColumn id="19" xr3:uid="{00000000-0010-0000-0100-000013000000}" name="Column19" headerRowDxfId="181" dataDxfId="180" totalsRowDxfId="179" dataCellStyle="Comma"/>
    <tableColumn id="20" xr3:uid="{00000000-0010-0000-0100-000014000000}" name="Column20" headerRowDxfId="178" dataDxfId="177" totalsRowDxfId="176" dataCellStyle="Comma"/>
    <tableColumn id="21" xr3:uid="{00000000-0010-0000-0100-000015000000}" name="Column21" headerRowDxfId="175" dataDxfId="174" totalsRowDxfId="173" dataCellStyle="Comma"/>
    <tableColumn id="22" xr3:uid="{00000000-0010-0000-0100-000016000000}" name="Column22" headerRowDxfId="172" dataDxfId="171" totalsRowDxfId="170"/>
    <tableColumn id="23" xr3:uid="{00000000-0010-0000-0100-000017000000}" name="Column23" headerRowDxfId="169" dataDxfId="168" totalsRowDxfId="167"/>
    <tableColumn id="24" xr3:uid="{00000000-0010-0000-0100-000018000000}" name="Column24" headerRowDxfId="166" dataDxfId="165" totalsRowDxfId="164"/>
    <tableColumn id="25" xr3:uid="{00000000-0010-0000-0100-000019000000}" name="Column25" headerRowDxfId="163" dataDxfId="162" totalsRowDxfId="161"/>
    <tableColumn id="26" xr3:uid="{00000000-0010-0000-0100-00001A000000}" name="Column26" headerRowDxfId="160"/>
    <tableColumn id="27" xr3:uid="{00000000-0010-0000-0100-00001B000000}" name="Column27" totalsRowFunction="count" headerRowDxfId="159"/>
    <tableColumn id="1" xr3:uid="{00000000-0010-0000-0100-000001000000}" name="Column1" headerRowDxfId="158" dataDxfId="157"/>
    <tableColumn id="2" xr3:uid="{00000000-0010-0000-0100-000002000000}" name="Column2" headerRowDxfId="156" dataDxfId="155"/>
    <tableColumn id="3" xr3:uid="{00000000-0010-0000-0100-000003000000}" name="Column3" headerRowDxfId="154" dataDxfId="153"/>
    <tableColumn id="28" xr3:uid="{00000000-0010-0000-0100-00001C000000}" name="Column28" headerRowDxfId="152" dataDxfId="151"/>
    <tableColumn id="29" xr3:uid="{00000000-0010-0000-0100-00001D000000}" name="Column29" headerRowDxfId="150" dataDxfId="149"/>
    <tableColumn id="30" xr3:uid="{00000000-0010-0000-0100-00001E000000}" name="Column30" headerRowDxfId="148" dataDxfId="14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B4:AE12" headerRowCount="0" totalsRowShown="0" headerRowDxfId="146" dataDxfId="144" headerRowBorderDxfId="145" tableBorderDxfId="143" dataCellStyle="Comma">
  <tableColumns count="30">
    <tableColumn id="4" xr3:uid="{00000000-0010-0000-0200-000004000000}" name="Column4" headerRowDxfId="142" dataDxfId="141" dataCellStyle="Comma"/>
    <tableColumn id="5" xr3:uid="{00000000-0010-0000-0200-000005000000}" name="Column5" headerRowDxfId="140" dataDxfId="139" dataCellStyle="Comma"/>
    <tableColumn id="6" xr3:uid="{00000000-0010-0000-0200-000006000000}" name="Column6" headerRowDxfId="138" dataDxfId="137" dataCellStyle="Comma"/>
    <tableColumn id="7" xr3:uid="{00000000-0010-0000-0200-000007000000}" name="Column7" headerRowDxfId="136" dataDxfId="135" dataCellStyle="Comma"/>
    <tableColumn id="8" xr3:uid="{00000000-0010-0000-0200-000008000000}" name="Column8" headerRowDxfId="134" dataDxfId="133" dataCellStyle="Comma"/>
    <tableColumn id="9" xr3:uid="{00000000-0010-0000-0200-000009000000}" name="Column9" headerRowDxfId="132" dataDxfId="131" dataCellStyle="Comma"/>
    <tableColumn id="10" xr3:uid="{00000000-0010-0000-0200-00000A000000}" name="Column10" headerRowDxfId="130" dataDxfId="129" dataCellStyle="Comma"/>
    <tableColumn id="11" xr3:uid="{00000000-0010-0000-0200-00000B000000}" name="Column11" headerRowDxfId="128" dataDxfId="127" dataCellStyle="Comma"/>
    <tableColumn id="12" xr3:uid="{00000000-0010-0000-0200-00000C000000}" name="Column12" headerRowDxfId="126" dataDxfId="125" dataCellStyle="Comma"/>
    <tableColumn id="13" xr3:uid="{00000000-0010-0000-0200-00000D000000}" name="Column13" headerRowDxfId="124" dataDxfId="123" dataCellStyle="Comma"/>
    <tableColumn id="14" xr3:uid="{00000000-0010-0000-0200-00000E000000}" name="Column14" headerRowDxfId="122" dataDxfId="121" dataCellStyle="Comma"/>
    <tableColumn id="15" xr3:uid="{00000000-0010-0000-0200-00000F000000}" name="Column15" headerRowDxfId="120" dataDxfId="119" dataCellStyle="Comma"/>
    <tableColumn id="16" xr3:uid="{00000000-0010-0000-0200-000010000000}" name="Column16" headerRowDxfId="118" dataDxfId="117" dataCellStyle="Comma"/>
    <tableColumn id="17" xr3:uid="{00000000-0010-0000-0200-000011000000}" name="Column17" headerRowDxfId="116" dataDxfId="115" dataCellStyle="Comma"/>
    <tableColumn id="18" xr3:uid="{00000000-0010-0000-0200-000012000000}" name="Column18" headerRowDxfId="114" dataDxfId="113" dataCellStyle="Comma"/>
    <tableColumn id="19" xr3:uid="{00000000-0010-0000-0200-000013000000}" name="Column19" headerRowDxfId="112" dataDxfId="111" dataCellStyle="Comma"/>
    <tableColumn id="20" xr3:uid="{00000000-0010-0000-0200-000014000000}" name="Column20" headerRowDxfId="110" dataDxfId="109" dataCellStyle="Comma"/>
    <tableColumn id="21" xr3:uid="{00000000-0010-0000-0200-000015000000}" name="Column21" headerRowDxfId="108" dataDxfId="107" dataCellStyle="Comma"/>
    <tableColumn id="22" xr3:uid="{00000000-0010-0000-0200-000016000000}" name="Column22" headerRowDxfId="106" dataDxfId="105" dataCellStyle="Comma"/>
    <tableColumn id="23" xr3:uid="{00000000-0010-0000-0200-000017000000}" name="Column23" headerRowDxfId="104" dataDxfId="103" dataCellStyle="Comma"/>
    <tableColumn id="24" xr3:uid="{00000000-0010-0000-0200-000018000000}" name="Column24" headerRowDxfId="102" dataDxfId="101" dataCellStyle="Comma"/>
    <tableColumn id="25" xr3:uid="{00000000-0010-0000-0200-000019000000}" name="Column25" headerRowDxfId="100" dataDxfId="99" dataCellStyle="Comma"/>
    <tableColumn id="26" xr3:uid="{00000000-0010-0000-0200-00001A000000}" name="Column26" headerRowDxfId="98" dataDxfId="97" dataCellStyle="Comma"/>
    <tableColumn id="27" xr3:uid="{00000000-0010-0000-0200-00001B000000}" name="Column27" headerRowDxfId="96" dataDxfId="95" dataCellStyle="Comma"/>
    <tableColumn id="1" xr3:uid="{00000000-0010-0000-0200-000001000000}" name="Column1" headerRowDxfId="94" dataDxfId="93" dataCellStyle="Comma"/>
    <tableColumn id="2" xr3:uid="{00000000-0010-0000-0200-000002000000}" name="Column2" headerRowDxfId="92" dataDxfId="91" dataCellStyle="Comma"/>
    <tableColumn id="3" xr3:uid="{00000000-0010-0000-0200-000003000000}" name="Column3" headerRowDxfId="90" dataDxfId="89" dataCellStyle="Comma"/>
    <tableColumn id="28" xr3:uid="{A4C7D198-9D77-493E-9D09-980DC3CCEC32}" name="Column28" headerRowDxfId="88" dataDxfId="87" dataCellStyle="Comma"/>
    <tableColumn id="29" xr3:uid="{6EE5F86A-F7FB-482D-929F-7F7E809B181E}" name="Column29" headerRowDxfId="86" dataDxfId="85" dataCellStyle="Comma"/>
    <tableColumn id="30" xr3:uid="{8F1C643D-57AE-4A45-85AB-14C98B838F28}" name="Column30" headerRowDxfId="84" dataDxfId="83" dataCellStyle="Comma"/>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6" displayName="Table46" ref="B4:AE12" headerRowCount="0" totalsRowShown="0" headerRowDxfId="82" dataDxfId="80" headerRowBorderDxfId="81" tableBorderDxfId="79" dataCellStyle="Comma">
  <tableColumns count="30">
    <tableColumn id="4" xr3:uid="{00000000-0010-0000-0300-000004000000}" name="Column4" headerRowDxfId="78" dataDxfId="77" dataCellStyle="Comma"/>
    <tableColumn id="5" xr3:uid="{00000000-0010-0000-0300-000005000000}" name="Column5" headerRowDxfId="76" dataDxfId="75" dataCellStyle="Comma"/>
    <tableColumn id="6" xr3:uid="{00000000-0010-0000-0300-000006000000}" name="Column6" headerRowDxfId="74" dataDxfId="73" dataCellStyle="Comma"/>
    <tableColumn id="7" xr3:uid="{00000000-0010-0000-0300-000007000000}" name="Column7" headerRowDxfId="72" dataDxfId="71" dataCellStyle="Comma"/>
    <tableColumn id="8" xr3:uid="{00000000-0010-0000-0300-000008000000}" name="Column8" headerRowDxfId="70" dataDxfId="69" dataCellStyle="Comma"/>
    <tableColumn id="9" xr3:uid="{00000000-0010-0000-0300-000009000000}" name="Column9" headerRowDxfId="68" dataDxfId="67" dataCellStyle="Comma"/>
    <tableColumn id="10" xr3:uid="{00000000-0010-0000-0300-00000A000000}" name="Column10" headerRowDxfId="66" dataDxfId="65" dataCellStyle="Comma"/>
    <tableColumn id="11" xr3:uid="{00000000-0010-0000-0300-00000B000000}" name="Column11" headerRowDxfId="64" dataDxfId="63" dataCellStyle="Comma"/>
    <tableColumn id="12" xr3:uid="{00000000-0010-0000-0300-00000C000000}" name="Column12" headerRowDxfId="62" dataDxfId="61" dataCellStyle="Comma"/>
    <tableColumn id="13" xr3:uid="{00000000-0010-0000-0300-00000D000000}" name="Column13" headerRowDxfId="60" dataDxfId="59" dataCellStyle="Comma"/>
    <tableColumn id="14" xr3:uid="{00000000-0010-0000-0300-00000E000000}" name="Column14" headerRowDxfId="58" dataDxfId="57" dataCellStyle="Comma"/>
    <tableColumn id="15" xr3:uid="{00000000-0010-0000-0300-00000F000000}" name="Column15" headerRowDxfId="56" dataDxfId="55" dataCellStyle="Comma"/>
    <tableColumn id="16" xr3:uid="{00000000-0010-0000-0300-000010000000}" name="Column16" headerRowDxfId="54" dataDxfId="53" dataCellStyle="Comma"/>
    <tableColumn id="17" xr3:uid="{00000000-0010-0000-0300-000011000000}" name="Column17" headerRowDxfId="52" dataDxfId="51" dataCellStyle="Comma"/>
    <tableColumn id="18" xr3:uid="{00000000-0010-0000-0300-000012000000}" name="Column18" headerRowDxfId="50" dataDxfId="49" dataCellStyle="Comma"/>
    <tableColumn id="19" xr3:uid="{00000000-0010-0000-0300-000013000000}" name="Column19" headerRowDxfId="48" dataDxfId="47" dataCellStyle="Comma"/>
    <tableColumn id="20" xr3:uid="{00000000-0010-0000-0300-000014000000}" name="Column20" headerRowDxfId="46" dataDxfId="45" dataCellStyle="Comma"/>
    <tableColumn id="21" xr3:uid="{00000000-0010-0000-0300-000015000000}" name="Column21" headerRowDxfId="44" dataDxfId="43" dataCellStyle="Comma"/>
    <tableColumn id="22" xr3:uid="{00000000-0010-0000-0300-000016000000}" name="Column22" headerRowDxfId="42" dataDxfId="41" dataCellStyle="Comma"/>
    <tableColumn id="23" xr3:uid="{00000000-0010-0000-0300-000017000000}" name="Column23" headerRowDxfId="40" dataDxfId="39" dataCellStyle="Comma"/>
    <tableColumn id="24" xr3:uid="{00000000-0010-0000-0300-000018000000}" name="Column24" headerRowDxfId="38" dataDxfId="37" dataCellStyle="Comma"/>
    <tableColumn id="25" xr3:uid="{00000000-0010-0000-0300-000019000000}" name="Column25" headerRowDxfId="36" dataDxfId="35" dataCellStyle="Comma"/>
    <tableColumn id="26" xr3:uid="{00000000-0010-0000-0300-00001A000000}" name="Column26" headerRowDxfId="34" dataDxfId="33" dataCellStyle="Comma"/>
    <tableColumn id="27" xr3:uid="{00000000-0010-0000-0300-00001B000000}" name="Column27" headerRowDxfId="32" dataDxfId="31" dataCellStyle="Comma"/>
    <tableColumn id="1" xr3:uid="{CA3F588E-A3F8-4DDA-9D01-6B10010E4DB0}" name="Column1" headerRowDxfId="30" dataDxfId="29" dataCellStyle="Comma"/>
    <tableColumn id="2" xr3:uid="{2934AD26-9D5B-4FBB-9DEE-69AF4A9BA086}" name="Column2" headerRowDxfId="28" dataDxfId="27" dataCellStyle="Comma"/>
    <tableColumn id="3" xr3:uid="{EE1F31BF-23E5-431C-829C-9AA5BC4C44F3}" name="Column3" headerRowDxfId="26" dataDxfId="25" dataCellStyle="Comma"/>
    <tableColumn id="28" xr3:uid="{29BB91D9-12AD-423E-8EEE-0B99967B4162}" name="Column28" headerRowDxfId="24" dataDxfId="23" dataCellStyle="Comma"/>
    <tableColumn id="29" xr3:uid="{2C15C758-B984-416F-B027-DA189B62C17A}" name="Column29" headerRowDxfId="22" dataDxfId="21" dataCellStyle="Comma"/>
    <tableColumn id="30" xr3:uid="{BC08AE17-BA80-43C5-8C5E-C828D4FBF5A2}" name="Column30" headerRowDxfId="20" dataDxfId="19" dataCellStyle="Comma"/>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ons.gov.uk/economy/environmentalaccounts/datasets/lowcarbonandrenewableenergyeconomyfirstestimatesdataset" TargetMode="External"/><Relationship Id="rId7" Type="http://schemas.openxmlformats.org/officeDocument/2006/relationships/hyperlink" Target="https://www.ons.gov.uk/economy/environmentalaccounts/methodologies/lowcarbonandrenewableenergyeconomylcreesurveyindirectestimatesmethodology" TargetMode="External"/><Relationship Id="rId2" Type="http://schemas.openxmlformats.org/officeDocument/2006/relationships/hyperlink" Target="https://www.ons.gov.uk/economy/nationalaccounts/supplyandusetables/datasets/ukinputoutputanalyticaltablesindustrybyindustry" TargetMode="External"/><Relationship Id="rId1" Type="http://schemas.openxmlformats.org/officeDocument/2006/relationships/hyperlink" Target="https://www.ons.gov.uk/economy/nationalaccounts/supplyandusetables/articles/inputoutputanalyticaltables/guidanceforuse" TargetMode="External"/><Relationship Id="rId6" Type="http://schemas.openxmlformats.org/officeDocument/2006/relationships/hyperlink" Target="https://www.ons.gov.uk/methodology/methodologytopicsandstatisticalconcepts/guidetoofficialstatisticsindevelopment" TargetMode="External"/><Relationship Id="rId5" Type="http://schemas.openxmlformats.org/officeDocument/2006/relationships/hyperlink" Target="https://www.ons.gov.uk/methodology/classificationsandstandards/ukstandardindustrialclassificationofeconomicactivities/uksic2007" TargetMode="External"/><Relationship Id="rId4" Type="http://schemas.openxmlformats.org/officeDocument/2006/relationships/hyperlink" Target="https://www.ons.gov.uk/economy/nationalaccounts/supplyandusetables/datasets/employmentmultipliersandeffectsintheuk2020"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
  <sheetViews>
    <sheetView tabSelected="1" zoomScaleNormal="100" workbookViewId="0"/>
  </sheetViews>
  <sheetFormatPr defaultRowHeight="14.4" x14ac:dyDescent="0.3"/>
  <cols>
    <col min="1" max="1" width="33.44140625" customWidth="1"/>
  </cols>
  <sheetData>
    <row r="1" spans="1:18" ht="19.95" customHeight="1" x14ac:dyDescent="0.4">
      <c r="A1" s="49" t="s">
        <v>59</v>
      </c>
      <c r="B1" s="20"/>
      <c r="C1" s="20"/>
      <c r="D1" s="20"/>
      <c r="E1" s="20"/>
      <c r="F1" s="20"/>
      <c r="G1" s="20"/>
      <c r="H1" s="20"/>
      <c r="I1" s="20"/>
      <c r="J1" s="20"/>
      <c r="K1" s="20"/>
      <c r="L1" s="20"/>
      <c r="M1" s="20"/>
      <c r="N1" s="20"/>
      <c r="O1" s="20"/>
      <c r="P1" s="20"/>
      <c r="Q1" s="20"/>
      <c r="R1" s="20"/>
    </row>
    <row r="2" spans="1:18" x14ac:dyDescent="0.3">
      <c r="A2" s="20"/>
      <c r="B2" s="20"/>
      <c r="C2" s="20"/>
      <c r="D2" s="20"/>
      <c r="E2" s="20"/>
      <c r="F2" s="20"/>
      <c r="G2" s="20"/>
      <c r="H2" s="20"/>
      <c r="I2" s="20"/>
      <c r="J2" s="20"/>
      <c r="K2" s="20"/>
      <c r="L2" s="20"/>
      <c r="M2" s="20"/>
      <c r="N2" s="20"/>
      <c r="O2" s="20"/>
      <c r="P2" s="20"/>
      <c r="Q2" s="20"/>
      <c r="R2" s="20"/>
    </row>
    <row r="3" spans="1:18" x14ac:dyDescent="0.3">
      <c r="A3" s="50" t="s">
        <v>0</v>
      </c>
      <c r="B3" s="20"/>
      <c r="C3" s="20"/>
      <c r="D3" s="20"/>
      <c r="E3" s="20"/>
      <c r="F3" s="20"/>
      <c r="G3" s="20"/>
      <c r="H3" s="20"/>
      <c r="I3" s="20"/>
      <c r="J3" s="20"/>
      <c r="K3" s="20"/>
      <c r="L3" s="20"/>
      <c r="M3" s="20"/>
      <c r="N3" s="20"/>
      <c r="O3" s="20"/>
      <c r="P3" s="20"/>
      <c r="Q3" s="20"/>
      <c r="R3" s="20"/>
    </row>
    <row r="4" spans="1:18" x14ac:dyDescent="0.3">
      <c r="A4" s="21"/>
      <c r="B4" s="20"/>
      <c r="C4" s="20"/>
      <c r="D4" s="20"/>
      <c r="E4" s="20"/>
      <c r="F4" s="20"/>
      <c r="G4" s="20"/>
      <c r="H4" s="20"/>
      <c r="I4" s="20"/>
      <c r="J4" s="20"/>
      <c r="K4" s="20"/>
      <c r="L4" s="20"/>
      <c r="M4" s="20"/>
      <c r="N4" s="20"/>
      <c r="O4" s="20"/>
      <c r="P4" s="20"/>
      <c r="Q4" s="20"/>
      <c r="R4" s="20"/>
    </row>
    <row r="5" spans="1:18" x14ac:dyDescent="0.3">
      <c r="A5" s="50" t="s">
        <v>1</v>
      </c>
      <c r="B5" s="20"/>
      <c r="C5" s="20"/>
      <c r="D5" s="20"/>
      <c r="E5" s="20"/>
      <c r="F5" s="20"/>
      <c r="G5" s="20"/>
      <c r="H5" s="20"/>
      <c r="I5" s="20"/>
      <c r="J5" s="20"/>
      <c r="K5" s="20"/>
      <c r="L5" s="20"/>
      <c r="M5" s="20"/>
      <c r="N5" s="20"/>
      <c r="O5" s="20"/>
      <c r="P5" s="20"/>
      <c r="Q5" s="20"/>
      <c r="R5" s="20"/>
    </row>
    <row r="6" spans="1:18" x14ac:dyDescent="0.3">
      <c r="A6" s="22" t="s">
        <v>2</v>
      </c>
      <c r="B6" s="20"/>
      <c r="C6" s="20"/>
      <c r="D6" s="20"/>
      <c r="E6" s="20"/>
      <c r="F6" s="20"/>
      <c r="G6" s="20"/>
      <c r="H6" s="20"/>
      <c r="I6" s="20"/>
      <c r="J6" s="20"/>
      <c r="K6" s="20"/>
      <c r="L6" s="20"/>
      <c r="M6" s="20"/>
      <c r="N6" s="20"/>
      <c r="O6" s="20"/>
      <c r="P6" s="20"/>
      <c r="Q6" s="20"/>
      <c r="R6" s="20"/>
    </row>
    <row r="7" spans="1:18" x14ac:dyDescent="0.3">
      <c r="A7" s="21"/>
      <c r="B7" s="20"/>
      <c r="C7" s="20"/>
      <c r="D7" s="20"/>
      <c r="E7" s="20"/>
      <c r="F7" s="20"/>
      <c r="G7" s="20"/>
      <c r="H7" s="20"/>
      <c r="I7" s="20"/>
      <c r="J7" s="20"/>
      <c r="K7" s="20"/>
      <c r="L7" s="20"/>
      <c r="M7" s="20"/>
      <c r="N7" s="20"/>
      <c r="O7" s="20"/>
      <c r="P7" s="20"/>
      <c r="Q7" s="20"/>
      <c r="R7" s="20"/>
    </row>
    <row r="8" spans="1:18" x14ac:dyDescent="0.3">
      <c r="A8" s="50" t="s">
        <v>3</v>
      </c>
      <c r="B8" s="20"/>
      <c r="C8" s="20"/>
      <c r="D8" s="20"/>
      <c r="E8" s="20"/>
      <c r="F8" s="20"/>
      <c r="G8" s="20"/>
      <c r="H8" s="20"/>
      <c r="I8" s="20"/>
      <c r="J8" s="20"/>
      <c r="K8" s="20"/>
      <c r="L8" s="20"/>
      <c r="M8" s="20"/>
      <c r="N8" s="20"/>
      <c r="O8" s="20"/>
      <c r="P8" s="20"/>
      <c r="Q8" s="20"/>
      <c r="R8" s="20"/>
    </row>
    <row r="9" spans="1:18" x14ac:dyDescent="0.3">
      <c r="A9" s="22" t="s">
        <v>4</v>
      </c>
      <c r="B9" s="22"/>
      <c r="C9" s="22"/>
      <c r="D9" s="20"/>
      <c r="E9" s="20"/>
      <c r="F9" s="20"/>
      <c r="G9" s="20"/>
      <c r="H9" s="20"/>
      <c r="I9" s="20"/>
      <c r="J9" s="20"/>
      <c r="K9" s="20"/>
      <c r="L9" s="20"/>
      <c r="M9" s="20"/>
      <c r="N9" s="20"/>
      <c r="O9" s="20"/>
      <c r="P9" s="20"/>
      <c r="Q9" s="20"/>
      <c r="R9" s="20"/>
    </row>
    <row r="10" spans="1:18" x14ac:dyDescent="0.3">
      <c r="A10" s="44" t="s">
        <v>51</v>
      </c>
      <c r="B10" s="22"/>
      <c r="C10" s="22"/>
      <c r="D10" s="20"/>
      <c r="E10" s="20"/>
      <c r="F10" s="20"/>
      <c r="G10" s="20"/>
      <c r="H10" s="20"/>
      <c r="I10" s="20"/>
      <c r="J10" s="20"/>
      <c r="K10" s="20"/>
      <c r="L10" s="20"/>
      <c r="M10" s="20"/>
      <c r="N10" s="20"/>
      <c r="O10" s="20"/>
      <c r="P10" s="20"/>
      <c r="Q10" s="20"/>
      <c r="R10" s="20"/>
    </row>
    <row r="11" spans="1:18" x14ac:dyDescent="0.3">
      <c r="A11" s="21"/>
      <c r="B11" s="20"/>
      <c r="C11" s="20"/>
      <c r="D11" s="20"/>
      <c r="E11" s="20"/>
      <c r="F11" s="20"/>
      <c r="G11" s="20"/>
      <c r="H11" s="20"/>
      <c r="I11" s="20"/>
      <c r="J11" s="20"/>
      <c r="K11" s="20"/>
      <c r="L11" s="20"/>
      <c r="M11" s="20"/>
      <c r="N11" s="20"/>
      <c r="O11" s="20"/>
      <c r="P11" s="20"/>
      <c r="Q11" s="20"/>
      <c r="R11" s="20"/>
    </row>
    <row r="12" spans="1:18" x14ac:dyDescent="0.3">
      <c r="A12" s="50" t="s">
        <v>5</v>
      </c>
      <c r="B12" s="20"/>
      <c r="C12" s="20"/>
      <c r="D12" s="20"/>
      <c r="E12" s="20"/>
      <c r="F12" s="20"/>
      <c r="G12" s="20"/>
      <c r="H12" s="20"/>
      <c r="I12" s="20"/>
      <c r="J12" s="20"/>
      <c r="K12" s="20"/>
      <c r="L12" s="20"/>
      <c r="M12" s="20"/>
      <c r="N12" s="20"/>
      <c r="O12" s="20"/>
      <c r="P12" s="20"/>
      <c r="Q12" s="20"/>
      <c r="R12" s="20"/>
    </row>
    <row r="13" spans="1:18" x14ac:dyDescent="0.3">
      <c r="A13" s="22" t="s">
        <v>4</v>
      </c>
      <c r="B13" s="20"/>
      <c r="C13" s="20"/>
      <c r="D13" s="20"/>
      <c r="E13" s="20"/>
      <c r="F13" s="20"/>
      <c r="G13" s="20"/>
      <c r="H13" s="20"/>
      <c r="I13" s="20"/>
      <c r="J13" s="20"/>
      <c r="K13" s="20"/>
      <c r="L13" s="20"/>
      <c r="M13" s="20"/>
      <c r="N13" s="20"/>
      <c r="O13" s="20"/>
      <c r="P13" s="20"/>
      <c r="Q13" s="20"/>
      <c r="R13" s="20"/>
    </row>
    <row r="14" spans="1:18" x14ac:dyDescent="0.3">
      <c r="A14" s="44" t="s">
        <v>51</v>
      </c>
      <c r="B14" s="20"/>
      <c r="C14" s="20"/>
      <c r="D14" s="20"/>
      <c r="E14" s="20"/>
      <c r="F14" s="20"/>
      <c r="G14" s="20"/>
      <c r="H14" s="20"/>
      <c r="I14" s="20"/>
      <c r="J14" s="20"/>
      <c r="K14" s="20"/>
      <c r="L14" s="20"/>
      <c r="M14" s="20"/>
      <c r="N14" s="20"/>
      <c r="O14" s="20"/>
      <c r="P14" s="20"/>
      <c r="Q14" s="20"/>
      <c r="R14" s="20"/>
    </row>
  </sheetData>
  <hyperlinks>
    <hyperlink ref="A6" location="Metadata!A1" display="Information and footnotes" xr:uid="{BA02ACC0-6C19-45BE-B7B7-028E94B86440}"/>
    <hyperlink ref="A9" location="'UK LCREE TO by sector'!A1" display="Turnover " xr:uid="{51656D04-E3E6-42D5-B7EB-ACF752E12F81}"/>
    <hyperlink ref="A10" location="'UK LCREE FTE by sector'!A1" display="Employment (full time equivalent)" xr:uid="{1705579C-5667-4F98-824A-44845B7F9EB6}"/>
    <hyperlink ref="A13" location="'UK LCREE TO by group'!A1" display="Turnover " xr:uid="{651E3093-48C1-4676-8E70-81C1483324BF}"/>
    <hyperlink ref="A14" location="'UK LCREE FTE by group'!A1" display="Employment (full time equivalent)" xr:uid="{9AF61AC1-071C-4851-A43E-45345C8539D3}"/>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O42"/>
  <sheetViews>
    <sheetView zoomScaleNormal="100" workbookViewId="0"/>
  </sheetViews>
  <sheetFormatPr defaultRowHeight="14.4" x14ac:dyDescent="0.3"/>
  <cols>
    <col min="1" max="1" width="118.88671875" style="48" customWidth="1"/>
    <col min="2" max="2" width="9.5546875" customWidth="1"/>
    <col min="3" max="39" width="8.88671875" customWidth="1"/>
  </cols>
  <sheetData>
    <row r="1" spans="1:197" ht="19.95" customHeight="1" x14ac:dyDescent="0.3">
      <c r="A1" s="51" t="s">
        <v>6</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row>
    <row r="2" spans="1:197" x14ac:dyDescent="0.3">
      <c r="A2" s="46"/>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20"/>
    </row>
    <row r="3" spans="1:197" x14ac:dyDescent="0.3">
      <c r="A3" s="52" t="s">
        <v>7</v>
      </c>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row>
    <row r="4" spans="1:197" s="59" customFormat="1" ht="43.2" customHeight="1" x14ac:dyDescent="0.3">
      <c r="A4" s="59" t="s">
        <v>8</v>
      </c>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2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c r="BN4" s="60"/>
      <c r="BO4" s="60"/>
      <c r="BP4" s="60"/>
      <c r="BQ4" s="60"/>
      <c r="BR4" s="60"/>
      <c r="BS4" s="60"/>
      <c r="BT4" s="60"/>
      <c r="BU4" s="60"/>
      <c r="BV4" s="60"/>
      <c r="BW4" s="60"/>
      <c r="BX4" s="60"/>
      <c r="BY4" s="60"/>
      <c r="BZ4" s="60"/>
      <c r="CA4" s="60"/>
      <c r="CB4" s="60"/>
      <c r="CC4" s="60"/>
      <c r="CD4" s="60"/>
      <c r="CE4" s="60"/>
      <c r="CF4" s="60"/>
      <c r="CG4" s="60"/>
      <c r="CH4" s="60"/>
      <c r="CI4" s="60"/>
      <c r="CJ4" s="60"/>
      <c r="CK4" s="60"/>
      <c r="CL4" s="60"/>
      <c r="CM4" s="60"/>
      <c r="CN4" s="60"/>
      <c r="CO4" s="60"/>
      <c r="CP4" s="60"/>
      <c r="CQ4" s="60"/>
      <c r="CR4" s="60"/>
      <c r="CS4" s="60"/>
      <c r="CT4" s="60"/>
      <c r="CU4" s="60"/>
      <c r="CV4" s="60"/>
      <c r="CW4" s="60"/>
      <c r="CX4" s="60"/>
      <c r="CY4" s="60"/>
      <c r="CZ4" s="60"/>
      <c r="DA4" s="60"/>
      <c r="DB4" s="60"/>
      <c r="DC4" s="60"/>
      <c r="DD4" s="60"/>
      <c r="DE4" s="60"/>
      <c r="DF4" s="60"/>
      <c r="DG4" s="60"/>
      <c r="DH4" s="60"/>
      <c r="DI4" s="60"/>
      <c r="DJ4" s="60"/>
      <c r="DK4" s="60"/>
      <c r="DL4" s="60"/>
      <c r="DM4" s="60"/>
      <c r="DN4" s="60"/>
      <c r="DO4" s="60"/>
      <c r="DP4" s="60"/>
      <c r="DQ4" s="60"/>
      <c r="DR4" s="60"/>
      <c r="DS4" s="60"/>
      <c r="DT4" s="60"/>
      <c r="DU4" s="60"/>
      <c r="DV4" s="60"/>
      <c r="DW4" s="60"/>
      <c r="DX4" s="60"/>
      <c r="DY4" s="60"/>
      <c r="DZ4" s="60"/>
      <c r="EA4" s="60"/>
      <c r="EB4" s="60"/>
      <c r="EC4" s="60"/>
      <c r="ED4" s="60"/>
      <c r="EE4" s="60"/>
      <c r="EF4" s="60"/>
      <c r="EG4" s="60"/>
      <c r="EH4" s="60"/>
      <c r="EI4" s="60"/>
      <c r="EJ4" s="60"/>
      <c r="EK4" s="60"/>
      <c r="EL4" s="60"/>
      <c r="EM4" s="60"/>
      <c r="EN4" s="60"/>
      <c r="EO4" s="60"/>
      <c r="EP4" s="60"/>
      <c r="EQ4" s="60"/>
      <c r="ER4" s="60"/>
      <c r="ES4" s="60"/>
      <c r="ET4" s="60"/>
      <c r="EU4" s="60"/>
      <c r="EV4" s="60"/>
      <c r="EW4" s="60"/>
      <c r="EX4" s="60"/>
      <c r="EY4" s="60"/>
      <c r="EZ4" s="60"/>
      <c r="FA4" s="60"/>
      <c r="FB4" s="60"/>
      <c r="FC4" s="60"/>
      <c r="FD4" s="60"/>
      <c r="FE4" s="60"/>
      <c r="FF4" s="60"/>
      <c r="FG4" s="60"/>
      <c r="FH4" s="60"/>
      <c r="FI4" s="60"/>
      <c r="FJ4" s="60"/>
      <c r="FK4" s="60"/>
      <c r="FL4" s="60"/>
      <c r="FM4" s="60"/>
      <c r="FN4" s="60"/>
      <c r="FO4" s="60"/>
      <c r="FP4" s="60"/>
      <c r="FQ4" s="60"/>
      <c r="FR4" s="60"/>
      <c r="FS4" s="60"/>
      <c r="FT4" s="60"/>
      <c r="FU4" s="60"/>
      <c r="FV4" s="60"/>
      <c r="FW4" s="60"/>
      <c r="FX4" s="60"/>
      <c r="FY4" s="60"/>
      <c r="FZ4" s="60"/>
      <c r="GA4" s="60"/>
      <c r="GB4" s="60"/>
      <c r="GC4" s="60"/>
      <c r="GD4" s="60"/>
      <c r="GE4" s="60"/>
      <c r="GF4" s="60"/>
      <c r="GG4" s="60"/>
      <c r="GH4" s="60"/>
      <c r="GI4" s="60"/>
      <c r="GJ4" s="60"/>
      <c r="GK4" s="60"/>
      <c r="GL4" s="60"/>
      <c r="GM4" s="60"/>
      <c r="GN4" s="60"/>
      <c r="GO4" s="60"/>
    </row>
    <row r="5" spans="1:197" x14ac:dyDescent="0.3">
      <c r="A5" s="45"/>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row>
    <row r="6" spans="1:197" x14ac:dyDescent="0.3">
      <c r="A6" s="52" t="s">
        <v>9</v>
      </c>
      <c r="B6" s="43"/>
      <c r="C6" s="20"/>
      <c r="D6" s="20"/>
      <c r="E6" s="20"/>
      <c r="F6" s="20"/>
      <c r="G6" s="20"/>
      <c r="H6" s="20"/>
      <c r="I6" s="20"/>
      <c r="J6" s="20"/>
      <c r="K6" s="20"/>
      <c r="L6" s="20"/>
      <c r="M6" s="20"/>
      <c r="N6" s="20"/>
      <c r="O6" s="20"/>
      <c r="P6" s="20"/>
      <c r="Q6" s="46"/>
      <c r="R6" s="46"/>
      <c r="S6" s="46"/>
      <c r="T6" s="46"/>
      <c r="U6" s="46"/>
      <c r="V6" s="46"/>
      <c r="W6" s="46"/>
      <c r="X6" s="46"/>
      <c r="Y6" s="46"/>
      <c r="Z6" s="46"/>
      <c r="AA6" s="46"/>
      <c r="AB6" s="46"/>
      <c r="AC6" s="46"/>
      <c r="AD6" s="46"/>
      <c r="AE6" s="46"/>
      <c r="AF6" s="46"/>
      <c r="AG6" s="46"/>
      <c r="AH6" s="46"/>
      <c r="AI6" s="46"/>
      <c r="AJ6" s="46"/>
      <c r="AK6" s="46"/>
      <c r="AL6" s="20"/>
    </row>
    <row r="7" spans="1:197" s="59" customFormat="1" x14ac:dyDescent="0.3">
      <c r="A7" s="59" t="s">
        <v>10</v>
      </c>
      <c r="C7"/>
      <c r="D7"/>
      <c r="E7"/>
      <c r="F7"/>
      <c r="G7"/>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c r="BN7" s="60"/>
      <c r="BO7" s="60"/>
      <c r="BP7" s="60"/>
      <c r="BQ7" s="60"/>
      <c r="BR7" s="60"/>
      <c r="BS7" s="60"/>
      <c r="BT7" s="60"/>
      <c r="BU7" s="60"/>
      <c r="BV7" s="60"/>
      <c r="BW7" s="60"/>
      <c r="BX7" s="60"/>
      <c r="BY7" s="60"/>
      <c r="BZ7" s="60"/>
      <c r="CA7" s="60"/>
      <c r="CB7" s="60"/>
      <c r="CC7" s="60"/>
      <c r="CD7" s="60"/>
      <c r="CE7" s="60"/>
      <c r="CF7" s="60"/>
      <c r="CG7" s="60"/>
      <c r="CH7" s="60"/>
      <c r="CI7" s="60"/>
      <c r="CJ7" s="60"/>
      <c r="CK7" s="60"/>
      <c r="CL7" s="60"/>
      <c r="CM7" s="60"/>
      <c r="CN7" s="60"/>
      <c r="CO7" s="60"/>
      <c r="CP7" s="60"/>
      <c r="CQ7" s="60"/>
      <c r="CR7" s="60"/>
      <c r="CS7" s="60"/>
      <c r="CT7" s="60"/>
      <c r="CU7" s="60"/>
      <c r="CV7" s="60"/>
      <c r="CW7" s="60"/>
      <c r="CX7" s="60"/>
      <c r="CY7" s="60"/>
      <c r="CZ7" s="60"/>
      <c r="DA7" s="60"/>
      <c r="DB7" s="60"/>
      <c r="DC7" s="60"/>
      <c r="DD7" s="60"/>
      <c r="DE7" s="60"/>
      <c r="DF7" s="60"/>
      <c r="DG7" s="60"/>
      <c r="DH7" s="60"/>
      <c r="DI7" s="60"/>
      <c r="DJ7" s="60"/>
      <c r="DK7" s="60"/>
      <c r="DL7" s="60"/>
      <c r="DM7" s="60"/>
      <c r="DN7" s="60"/>
      <c r="DO7" s="60"/>
      <c r="DP7" s="60"/>
      <c r="DQ7" s="60"/>
      <c r="DR7" s="60"/>
      <c r="DS7" s="60"/>
      <c r="DT7" s="60"/>
      <c r="DU7" s="60"/>
      <c r="DV7" s="60"/>
      <c r="DW7" s="60"/>
      <c r="DX7" s="60"/>
      <c r="DY7" s="60"/>
      <c r="DZ7" s="60"/>
      <c r="EA7" s="60"/>
      <c r="EB7" s="60"/>
      <c r="EC7" s="60"/>
      <c r="ED7" s="60"/>
      <c r="EE7" s="60"/>
      <c r="EF7" s="60"/>
      <c r="EG7" s="60"/>
      <c r="EH7" s="60"/>
      <c r="EI7" s="60"/>
      <c r="EJ7" s="60"/>
      <c r="EK7" s="60"/>
      <c r="EL7" s="60"/>
      <c r="EM7" s="60"/>
      <c r="EN7" s="60"/>
      <c r="EO7" s="60"/>
      <c r="EP7" s="60"/>
      <c r="EQ7" s="60"/>
      <c r="ER7" s="60"/>
      <c r="ES7" s="60"/>
      <c r="ET7" s="60"/>
      <c r="EU7" s="60"/>
      <c r="EV7" s="60"/>
      <c r="EW7" s="60"/>
      <c r="EX7" s="60"/>
      <c r="EY7" s="60"/>
      <c r="EZ7" s="60"/>
      <c r="FA7" s="60"/>
      <c r="FB7" s="60"/>
      <c r="FC7" s="60"/>
      <c r="FD7" s="60"/>
      <c r="FE7" s="60"/>
      <c r="FF7" s="60"/>
      <c r="FG7" s="60"/>
      <c r="FH7" s="60"/>
      <c r="FI7" s="60"/>
      <c r="FJ7" s="60"/>
      <c r="FK7" s="60"/>
      <c r="FL7" s="60"/>
      <c r="FM7" s="60"/>
      <c r="FN7" s="60"/>
      <c r="FO7" s="60"/>
      <c r="FP7" s="60"/>
      <c r="FQ7" s="60"/>
      <c r="FR7" s="60"/>
      <c r="FS7" s="60"/>
      <c r="FT7" s="60"/>
      <c r="FU7" s="60"/>
      <c r="FV7" s="60"/>
      <c r="FW7" s="60"/>
      <c r="FX7" s="60"/>
      <c r="FY7" s="60"/>
      <c r="FZ7" s="60"/>
      <c r="GA7" s="60"/>
      <c r="GB7" s="60"/>
      <c r="GC7" s="60"/>
      <c r="GD7" s="60"/>
      <c r="GE7" s="60"/>
      <c r="GF7" s="60"/>
      <c r="GG7" s="60"/>
      <c r="GH7" s="60"/>
      <c r="GI7" s="60"/>
      <c r="GJ7" s="60"/>
      <c r="GK7" s="60"/>
      <c r="GL7" s="60"/>
      <c r="GM7" s="60"/>
      <c r="GN7" s="60"/>
      <c r="GO7" s="60"/>
    </row>
    <row r="8" spans="1:197" s="59" customFormat="1" x14ac:dyDescent="0.3">
      <c r="A8" s="59" t="s">
        <v>60</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c r="BN8" s="60"/>
      <c r="BO8" s="60"/>
      <c r="BP8" s="60"/>
      <c r="BQ8" s="60"/>
      <c r="BR8" s="60"/>
      <c r="BS8" s="60"/>
      <c r="BT8" s="60"/>
      <c r="BU8" s="60"/>
      <c r="BV8" s="60"/>
      <c r="BW8" s="60"/>
      <c r="BX8" s="60"/>
      <c r="BY8" s="60"/>
      <c r="BZ8" s="60"/>
      <c r="CA8" s="60"/>
      <c r="CB8" s="60"/>
      <c r="CC8" s="60"/>
      <c r="CD8" s="60"/>
      <c r="CE8" s="60"/>
      <c r="CF8" s="60"/>
      <c r="CG8" s="60"/>
      <c r="CH8" s="60"/>
      <c r="CI8" s="60"/>
      <c r="CJ8" s="60"/>
      <c r="CK8" s="60"/>
      <c r="CL8" s="60"/>
      <c r="CM8" s="60"/>
      <c r="CN8" s="60"/>
      <c r="CO8" s="60"/>
      <c r="CP8" s="60"/>
      <c r="CQ8" s="60"/>
      <c r="CR8" s="60"/>
      <c r="CS8" s="60"/>
      <c r="CT8" s="60"/>
      <c r="CU8" s="60"/>
      <c r="CV8" s="60"/>
      <c r="CW8" s="60"/>
      <c r="CX8" s="60"/>
      <c r="CY8" s="60"/>
      <c r="CZ8" s="60"/>
      <c r="DA8" s="60"/>
      <c r="DB8" s="60"/>
      <c r="DC8" s="60"/>
      <c r="DD8" s="60"/>
      <c r="DE8" s="60"/>
      <c r="DF8" s="60"/>
      <c r="DG8" s="60"/>
      <c r="DH8" s="60"/>
      <c r="DI8" s="60"/>
      <c r="DJ8" s="60"/>
      <c r="DK8" s="60"/>
      <c r="DL8" s="60"/>
      <c r="DM8" s="60"/>
      <c r="DN8" s="60"/>
      <c r="DO8" s="60"/>
      <c r="DP8" s="60"/>
      <c r="DQ8" s="60"/>
      <c r="DR8" s="60"/>
      <c r="DS8" s="60"/>
      <c r="DT8" s="60"/>
      <c r="DU8" s="60"/>
      <c r="DV8" s="60"/>
      <c r="DW8" s="60"/>
      <c r="DX8" s="60"/>
      <c r="DY8" s="60"/>
      <c r="DZ8" s="60"/>
      <c r="EA8" s="60"/>
      <c r="EB8" s="60"/>
      <c r="EC8" s="60"/>
      <c r="ED8" s="60"/>
      <c r="EE8" s="60"/>
      <c r="EF8" s="60"/>
      <c r="EG8" s="60"/>
      <c r="EH8" s="60"/>
      <c r="EI8" s="60"/>
      <c r="EJ8" s="60"/>
      <c r="EK8" s="60"/>
      <c r="EL8" s="60"/>
      <c r="EM8" s="60"/>
      <c r="EN8" s="60"/>
      <c r="EO8" s="60"/>
      <c r="EP8" s="60"/>
      <c r="EQ8" s="60"/>
      <c r="ER8" s="60"/>
      <c r="ES8" s="60"/>
      <c r="ET8" s="60"/>
      <c r="EU8" s="60"/>
      <c r="EV8" s="60"/>
      <c r="EW8" s="60"/>
      <c r="EX8" s="60"/>
      <c r="EY8" s="60"/>
      <c r="EZ8" s="60"/>
      <c r="FA8" s="60"/>
      <c r="FB8" s="60"/>
      <c r="FC8" s="60"/>
      <c r="FD8" s="60"/>
      <c r="FE8" s="60"/>
      <c r="FF8" s="60"/>
      <c r="FG8" s="60"/>
      <c r="FH8" s="60"/>
      <c r="FI8" s="60"/>
      <c r="FJ8" s="60"/>
      <c r="FK8" s="60"/>
      <c r="FL8" s="60"/>
      <c r="FM8" s="60"/>
      <c r="FN8" s="60"/>
      <c r="FO8" s="60"/>
      <c r="FP8" s="60"/>
      <c r="FQ8" s="60"/>
      <c r="FR8" s="60"/>
      <c r="FS8" s="60"/>
      <c r="FT8" s="60"/>
      <c r="FU8" s="60"/>
      <c r="FV8" s="60"/>
      <c r="FW8" s="60"/>
      <c r="FX8" s="60"/>
      <c r="FY8" s="60"/>
      <c r="FZ8" s="60"/>
      <c r="GA8" s="60"/>
      <c r="GB8" s="60"/>
      <c r="GC8" s="60"/>
      <c r="GD8" s="60"/>
      <c r="GE8" s="60"/>
      <c r="GF8" s="60"/>
      <c r="GG8" s="60"/>
      <c r="GH8" s="60"/>
      <c r="GI8" s="60"/>
      <c r="GJ8" s="60"/>
      <c r="GK8" s="60"/>
      <c r="GL8" s="60"/>
      <c r="GM8" s="60"/>
      <c r="GN8" s="60"/>
      <c r="GO8" s="60"/>
    </row>
    <row r="9" spans="1:197" s="59" customFormat="1" x14ac:dyDescent="0.3">
      <c r="A9" s="59" t="s">
        <v>11</v>
      </c>
      <c r="C9"/>
      <c r="D9" s="20"/>
      <c r="E9" s="20"/>
      <c r="F9" s="20"/>
      <c r="G9" s="20"/>
      <c r="H9" s="20"/>
      <c r="I9" s="20"/>
      <c r="J9" s="20"/>
      <c r="K9" s="20"/>
      <c r="L9" s="20"/>
      <c r="M9"/>
      <c r="N9" s="20"/>
      <c r="O9" s="20"/>
      <c r="P9" s="20"/>
      <c r="Q9" s="20"/>
      <c r="R9" s="20"/>
      <c r="S9" s="20"/>
      <c r="T9" s="20"/>
      <c r="U9" s="20"/>
      <c r="V9" s="20"/>
      <c r="W9" s="20"/>
      <c r="X9" s="20"/>
      <c r="Y9" s="20"/>
      <c r="Z9" s="20"/>
      <c r="AA9" s="20"/>
      <c r="AB9" s="20"/>
      <c r="AC9" s="20"/>
      <c r="AD9" s="20"/>
      <c r="AE9" s="20"/>
      <c r="AF9" s="20"/>
      <c r="AG9" s="20"/>
      <c r="AH9" s="20"/>
      <c r="AI9" s="20"/>
      <c r="AJ9" s="20"/>
      <c r="AK9" s="20"/>
      <c r="AL9" s="2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c r="CX9" s="60"/>
      <c r="CY9" s="60"/>
      <c r="CZ9" s="60"/>
      <c r="DA9" s="60"/>
      <c r="DB9" s="60"/>
      <c r="DC9" s="60"/>
      <c r="DD9" s="60"/>
      <c r="DE9" s="60"/>
      <c r="DF9" s="60"/>
      <c r="DG9" s="60"/>
      <c r="DH9" s="60"/>
      <c r="DI9" s="60"/>
      <c r="DJ9" s="60"/>
      <c r="DK9" s="60"/>
      <c r="DL9" s="60"/>
      <c r="DM9" s="60"/>
      <c r="DN9" s="60"/>
      <c r="DO9" s="60"/>
      <c r="DP9" s="60"/>
      <c r="DQ9" s="60"/>
      <c r="DR9" s="60"/>
      <c r="DS9" s="60"/>
      <c r="DT9" s="60"/>
      <c r="DU9" s="60"/>
      <c r="DV9" s="60"/>
      <c r="DW9" s="60"/>
      <c r="DX9" s="60"/>
      <c r="DY9" s="60"/>
      <c r="DZ9" s="60"/>
      <c r="EA9" s="60"/>
      <c r="EB9" s="60"/>
      <c r="EC9" s="60"/>
      <c r="ED9" s="60"/>
      <c r="EE9" s="60"/>
      <c r="EF9" s="60"/>
      <c r="EG9" s="60"/>
      <c r="EH9" s="60"/>
      <c r="EI9" s="60"/>
      <c r="EJ9" s="60"/>
      <c r="EK9" s="60"/>
      <c r="EL9" s="60"/>
      <c r="EM9" s="60"/>
      <c r="EN9" s="60"/>
      <c r="EO9" s="60"/>
      <c r="EP9" s="60"/>
      <c r="EQ9" s="60"/>
      <c r="ER9" s="60"/>
      <c r="ES9" s="60"/>
      <c r="ET9" s="60"/>
      <c r="EU9" s="60"/>
      <c r="EV9" s="60"/>
      <c r="EW9" s="60"/>
      <c r="EX9" s="60"/>
      <c r="EY9" s="60"/>
      <c r="EZ9" s="60"/>
      <c r="FA9" s="60"/>
      <c r="FB9" s="60"/>
      <c r="FC9" s="60"/>
      <c r="FD9" s="60"/>
      <c r="FE9" s="60"/>
      <c r="FF9" s="60"/>
      <c r="FG9" s="60"/>
      <c r="FH9" s="60"/>
      <c r="FI9" s="60"/>
      <c r="FJ9" s="60"/>
      <c r="FK9" s="60"/>
      <c r="FL9" s="60"/>
      <c r="FM9" s="60"/>
      <c r="FN9" s="60"/>
      <c r="FO9" s="60"/>
      <c r="FP9" s="60"/>
      <c r="FQ9" s="60"/>
      <c r="FR9" s="60"/>
      <c r="FS9" s="60"/>
      <c r="FT9" s="60"/>
      <c r="FU9" s="60"/>
      <c r="FV9" s="60"/>
      <c r="FW9" s="60"/>
      <c r="FX9" s="60"/>
      <c r="FY9" s="60"/>
      <c r="FZ9" s="60"/>
      <c r="GA9" s="60"/>
      <c r="GB9" s="60"/>
      <c r="GC9" s="60"/>
      <c r="GD9" s="60"/>
      <c r="GE9" s="60"/>
      <c r="GF9" s="60"/>
      <c r="GG9" s="60"/>
      <c r="GH9" s="60"/>
      <c r="GI9" s="60"/>
      <c r="GJ9" s="60"/>
      <c r="GK9" s="60"/>
      <c r="GL9" s="60"/>
      <c r="GM9" s="60"/>
      <c r="GN9" s="60"/>
      <c r="GO9" s="60"/>
    </row>
    <row r="10" spans="1:197" x14ac:dyDescent="0.3">
      <c r="A10" s="47"/>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197" x14ac:dyDescent="0.3">
      <c r="A11" s="52" t="s">
        <v>12</v>
      </c>
      <c r="B11" s="20"/>
      <c r="C11" s="44"/>
      <c r="D11" s="20"/>
      <c r="E11" s="20"/>
      <c r="F11" s="20"/>
      <c r="G11" s="20"/>
      <c r="H11" s="20"/>
      <c r="I11" s="20"/>
      <c r="J11" s="20"/>
      <c r="K11" s="20"/>
      <c r="L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197" x14ac:dyDescent="0.3">
      <c r="A12" s="59" t="s">
        <v>13</v>
      </c>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20"/>
      <c r="AB12" s="20"/>
      <c r="AC12" s="20"/>
      <c r="AD12" s="20"/>
      <c r="AE12" s="20"/>
      <c r="AF12" s="20"/>
      <c r="AG12" s="20"/>
      <c r="AH12" s="20"/>
      <c r="AI12" s="20"/>
      <c r="AJ12" s="20"/>
      <c r="AK12" s="20"/>
      <c r="AL12" s="20"/>
      <c r="AM12" s="20"/>
    </row>
    <row r="13" spans="1:197" x14ac:dyDescent="0.3">
      <c r="A13" s="59" t="s">
        <v>61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20"/>
      <c r="AB13" s="20"/>
      <c r="AC13" s="20"/>
      <c r="AD13" s="20"/>
      <c r="AE13" s="20"/>
      <c r="AF13" s="20"/>
      <c r="AG13" s="20"/>
      <c r="AH13" s="20"/>
      <c r="AI13" s="20"/>
      <c r="AJ13" s="20"/>
      <c r="AK13" s="20"/>
      <c r="AL13" s="20"/>
      <c r="AM13" s="20"/>
    </row>
    <row r="14" spans="1:197" s="59" customFormat="1" x14ac:dyDescent="0.3">
      <c r="A14" s="59" t="s">
        <v>62</v>
      </c>
    </row>
    <row r="15" spans="1:197" x14ac:dyDescent="0.3">
      <c r="A15" s="63" t="s">
        <v>63</v>
      </c>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20"/>
      <c r="AB15" s="20"/>
      <c r="AC15" s="20"/>
      <c r="AD15" s="20"/>
      <c r="AE15" s="20"/>
      <c r="AF15" s="20"/>
      <c r="AG15" s="20"/>
      <c r="AH15" s="20"/>
      <c r="AI15" s="20"/>
      <c r="AJ15" s="20"/>
      <c r="AK15" s="20"/>
      <c r="AL15" s="20"/>
      <c r="AM15" s="20"/>
    </row>
    <row r="16" spans="1:197" x14ac:dyDescent="0.3">
      <c r="A16" s="59" t="s">
        <v>64</v>
      </c>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20"/>
      <c r="AB16" s="20"/>
      <c r="AC16" s="20"/>
      <c r="AD16" s="20"/>
      <c r="AE16" s="20"/>
      <c r="AF16" s="20"/>
      <c r="AG16" s="20"/>
      <c r="AH16" s="20"/>
      <c r="AI16" s="20"/>
      <c r="AJ16" s="20"/>
      <c r="AK16" s="20"/>
      <c r="AL16" s="20"/>
      <c r="AM16" s="20"/>
    </row>
    <row r="17" spans="1:39" x14ac:dyDescent="0.3">
      <c r="A17" s="59" t="s">
        <v>65</v>
      </c>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20"/>
      <c r="AB17" s="20"/>
      <c r="AC17" s="20"/>
      <c r="AD17" s="20"/>
      <c r="AE17" s="20"/>
      <c r="AF17" s="20"/>
      <c r="AG17" s="20"/>
      <c r="AH17" s="20"/>
      <c r="AI17" s="20"/>
      <c r="AJ17" s="20"/>
      <c r="AK17" s="20"/>
      <c r="AL17" s="20"/>
      <c r="AM17" s="20"/>
    </row>
    <row r="18" spans="1:39" x14ac:dyDescent="0.3">
      <c r="A18" s="59"/>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20"/>
      <c r="AB18" s="20"/>
      <c r="AC18" s="20"/>
      <c r="AD18" s="20"/>
      <c r="AE18" s="20"/>
      <c r="AF18" s="20"/>
      <c r="AG18" s="20"/>
      <c r="AH18" s="20"/>
      <c r="AI18" s="20"/>
      <c r="AJ18" s="20"/>
      <c r="AK18" s="20"/>
      <c r="AL18" s="20"/>
      <c r="AM18" s="20"/>
    </row>
    <row r="19" spans="1:39" x14ac:dyDescent="0.3">
      <c r="A19" s="52" t="s">
        <v>14</v>
      </c>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row>
    <row r="20" spans="1:39" x14ac:dyDescent="0.3">
      <c r="A20" s="46" t="s">
        <v>15</v>
      </c>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row>
    <row r="21" spans="1:39" x14ac:dyDescent="0.3">
      <c r="A21" s="46" t="s">
        <v>16</v>
      </c>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row>
    <row r="22" spans="1:39" x14ac:dyDescent="0.3">
      <c r="A22" s="46" t="s">
        <v>17</v>
      </c>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row>
    <row r="23" spans="1:39" x14ac:dyDescent="0.3">
      <c r="A23" s="46" t="s">
        <v>18</v>
      </c>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c r="AH23" s="59"/>
      <c r="AI23" s="59"/>
      <c r="AJ23" s="59"/>
      <c r="AK23" s="59"/>
      <c r="AL23" s="59"/>
    </row>
    <row r="24" spans="1:39" x14ac:dyDescent="0.3">
      <c r="A24" s="45" t="s">
        <v>19</v>
      </c>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59"/>
      <c r="AL24" s="59"/>
    </row>
    <row r="25" spans="1:39" x14ac:dyDescent="0.3">
      <c r="A25" s="45"/>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row>
    <row r="26" spans="1:39" x14ac:dyDescent="0.3">
      <c r="A26" s="52" t="s">
        <v>20</v>
      </c>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row>
    <row r="27" spans="1:39" x14ac:dyDescent="0.3">
      <c r="A27" s="64" t="s">
        <v>66</v>
      </c>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spans="1:39" x14ac:dyDescent="0.3">
      <c r="A28" s="64" t="s">
        <v>67</v>
      </c>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spans="1:39" x14ac:dyDescent="0.3">
      <c r="A29" s="64" t="s">
        <v>68</v>
      </c>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spans="1:39" x14ac:dyDescent="0.3">
      <c r="A30" s="64" t="s">
        <v>69</v>
      </c>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spans="1:39" x14ac:dyDescent="0.3">
      <c r="A31" s="64" t="s">
        <v>70</v>
      </c>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spans="1:39" x14ac:dyDescent="0.3">
      <c r="A32" s="64" t="s">
        <v>71</v>
      </c>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spans="1:39" x14ac:dyDescent="0.3">
      <c r="A33" s="45"/>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row>
    <row r="34" spans="1:39" x14ac:dyDescent="0.3">
      <c r="A34" s="52" t="s">
        <v>21</v>
      </c>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row>
    <row r="35" spans="1:39" x14ac:dyDescent="0.3">
      <c r="A35" s="20" t="s">
        <v>22</v>
      </c>
      <c r="B35" s="44" t="s">
        <v>72</v>
      </c>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spans="1:39" x14ac:dyDescent="0.3">
      <c r="A36" s="20" t="s">
        <v>73</v>
      </c>
      <c r="B36" s="44" t="s">
        <v>74</v>
      </c>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row>
    <row r="37" spans="1:39" x14ac:dyDescent="0.3">
      <c r="A37" s="20" t="s">
        <v>75</v>
      </c>
      <c r="B37" s="22" t="s">
        <v>76</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row>
    <row r="38" spans="1:39" x14ac:dyDescent="0.3">
      <c r="A38" s="20" t="s">
        <v>77</v>
      </c>
      <c r="B38" s="22" t="s">
        <v>78</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row>
    <row r="39" spans="1:39" x14ac:dyDescent="0.3">
      <c r="A39" s="20" t="s">
        <v>79</v>
      </c>
      <c r="B39" s="22" t="s">
        <v>80</v>
      </c>
      <c r="C39" s="20"/>
      <c r="D39" s="20"/>
      <c r="E39" s="20"/>
      <c r="F39" s="20"/>
      <c r="G39" s="20"/>
      <c r="H39" s="20"/>
      <c r="I39" s="20"/>
      <c r="J39" s="22"/>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row>
    <row r="40" spans="1:39" x14ac:dyDescent="0.3">
      <c r="A40" s="20" t="s">
        <v>81</v>
      </c>
      <c r="B40" s="22" t="s">
        <v>82</v>
      </c>
      <c r="C40" s="20"/>
      <c r="D40" s="20"/>
      <c r="E40" s="20"/>
      <c r="F40" s="20"/>
      <c r="G40" s="20"/>
      <c r="H40" s="20"/>
      <c r="I40" s="20"/>
      <c r="J40" s="22"/>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row>
    <row r="41" spans="1:39" x14ac:dyDescent="0.3">
      <c r="A41" s="20" t="s">
        <v>83</v>
      </c>
      <c r="B41" s="22" t="s">
        <v>84</v>
      </c>
      <c r="C41" s="20"/>
      <c r="D41" s="20"/>
      <c r="E41" s="20"/>
      <c r="F41" s="20"/>
      <c r="G41" s="20"/>
      <c r="H41" s="20"/>
      <c r="I41" s="20"/>
      <c r="J41" s="22"/>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row>
    <row r="42" spans="1:39" x14ac:dyDescent="0.3">
      <c r="A42" s="65" t="s">
        <v>23</v>
      </c>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row>
  </sheetData>
  <hyperlinks>
    <hyperlink ref="B38" r:id="rId1" xr:uid="{4CAC2937-46BC-48F8-90B5-4AF0F5ED08B3}"/>
    <hyperlink ref="B37" r:id="rId2" xr:uid="{E9C6515A-69A7-4375-A976-7078226718FF}"/>
    <hyperlink ref="B36" r:id="rId3" xr:uid="{F2E941A2-24E1-4E87-BBCC-680DEA671C58}"/>
    <hyperlink ref="B39" r:id="rId4" xr:uid="{DB1DA46A-915E-465C-A818-F5AC68975DE5}"/>
    <hyperlink ref="B40" r:id="rId5" xr:uid="{FD33B3F3-7305-4A3A-9D26-428B22A581B0}"/>
    <hyperlink ref="B41" r:id="rId6" xr:uid="{5A1A7542-8C4A-48AA-89A9-42BD7CB1BDD6}"/>
    <hyperlink ref="B35" r:id="rId7" xr:uid="{BA8B2C72-B883-4B4F-9515-3411230CDE93}"/>
    <hyperlink ref="A42" location="Contents!A1" display="Back to contents" xr:uid="{90031AE3-F421-4DE4-AE8A-511A2B0D4B62}"/>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67"/>
  <sheetViews>
    <sheetView workbookViewId="0"/>
  </sheetViews>
  <sheetFormatPr defaultRowHeight="14.4" x14ac:dyDescent="0.3"/>
  <cols>
    <col min="1" max="1" width="48.88671875" customWidth="1"/>
    <col min="2" max="7" width="10.5546875" customWidth="1"/>
    <col min="8" max="25" width="11.5546875" customWidth="1"/>
    <col min="26" max="26" width="12.33203125" customWidth="1"/>
    <col min="27" max="27" width="11.109375" customWidth="1"/>
    <col min="28" max="28" width="11.6640625" customWidth="1"/>
    <col min="29" max="29" width="10.6640625" customWidth="1"/>
    <col min="30" max="30" width="12.44140625" customWidth="1"/>
    <col min="31" max="31" width="12.33203125" customWidth="1"/>
  </cols>
  <sheetData>
    <row r="1" spans="1:31" ht="19.95" customHeight="1" x14ac:dyDescent="0.4">
      <c r="A1" s="53" t="s">
        <v>24</v>
      </c>
      <c r="B1" s="3"/>
      <c r="C1" s="3"/>
      <c r="D1" s="3"/>
      <c r="E1" s="3"/>
      <c r="F1" s="3"/>
      <c r="G1" s="3"/>
      <c r="H1" s="3"/>
      <c r="I1" s="3"/>
      <c r="J1" s="3"/>
      <c r="K1" s="3"/>
      <c r="L1" s="3"/>
      <c r="M1" s="3"/>
      <c r="N1" s="3"/>
      <c r="O1" s="3"/>
      <c r="P1" s="3"/>
      <c r="Q1" s="3"/>
      <c r="R1" s="3"/>
      <c r="S1" s="3"/>
      <c r="T1" s="3"/>
      <c r="U1" s="3"/>
      <c r="V1" s="3"/>
      <c r="W1" s="3"/>
    </row>
    <row r="2" spans="1:31" x14ac:dyDescent="0.3">
      <c r="A2" s="3" t="s">
        <v>25</v>
      </c>
      <c r="B2" s="4"/>
      <c r="C2" s="4"/>
      <c r="D2" s="4"/>
      <c r="E2" s="4"/>
      <c r="F2" s="4"/>
      <c r="G2" s="4"/>
      <c r="H2" s="4"/>
      <c r="I2" s="17"/>
      <c r="J2" s="17"/>
      <c r="K2" s="17"/>
      <c r="L2" s="4"/>
      <c r="M2" s="4"/>
      <c r="N2" s="4"/>
      <c r="O2" s="5"/>
      <c r="P2" s="5"/>
      <c r="Q2" s="5"/>
      <c r="R2" s="5"/>
      <c r="S2" s="5"/>
      <c r="T2" s="5"/>
      <c r="U2" s="5"/>
      <c r="V2" s="5"/>
      <c r="W2" s="5"/>
    </row>
    <row r="3" spans="1:31" x14ac:dyDescent="0.3">
      <c r="A3" s="44" t="s">
        <v>23</v>
      </c>
      <c r="B3" s="3"/>
      <c r="C3" s="3"/>
      <c r="D3" s="3"/>
      <c r="E3" s="3"/>
      <c r="F3" s="3"/>
      <c r="G3" s="3"/>
      <c r="H3" s="3"/>
      <c r="I3" s="3"/>
      <c r="J3" s="3"/>
      <c r="K3" s="3"/>
      <c r="L3" s="3"/>
      <c r="M3" s="3"/>
      <c r="N3" s="3"/>
      <c r="O3" s="5"/>
      <c r="P3" s="5"/>
      <c r="Q3" s="5"/>
      <c r="R3" s="5"/>
      <c r="S3" s="5"/>
      <c r="T3" s="5"/>
      <c r="U3" s="5"/>
      <c r="V3" s="5"/>
      <c r="W3" s="5"/>
    </row>
    <row r="4" spans="1:31" x14ac:dyDescent="0.3">
      <c r="A4" s="1" t="s">
        <v>26</v>
      </c>
      <c r="B4" s="67"/>
      <c r="C4" s="19">
        <v>2015</v>
      </c>
      <c r="D4" s="27"/>
      <c r="E4" s="26"/>
      <c r="F4" s="19">
        <v>2016</v>
      </c>
      <c r="G4" s="27"/>
      <c r="H4" s="26"/>
      <c r="I4" s="19">
        <v>2017</v>
      </c>
      <c r="J4" s="27"/>
      <c r="K4" s="26"/>
      <c r="L4" s="19">
        <v>2018</v>
      </c>
      <c r="M4" s="27"/>
      <c r="N4" s="26"/>
      <c r="O4" s="19">
        <v>2019</v>
      </c>
      <c r="P4" s="27"/>
      <c r="Q4" s="26"/>
      <c r="R4" s="19">
        <v>2020</v>
      </c>
      <c r="S4" s="27"/>
      <c r="T4" s="26"/>
      <c r="U4" s="19">
        <v>2021</v>
      </c>
      <c r="V4" s="27"/>
      <c r="W4" s="67"/>
      <c r="X4" s="19">
        <v>2022</v>
      </c>
      <c r="Y4" s="27"/>
      <c r="Z4" s="26"/>
      <c r="AA4" s="19">
        <v>2023</v>
      </c>
      <c r="AB4" s="27"/>
      <c r="AC4" s="26"/>
      <c r="AD4" s="19">
        <v>2024</v>
      </c>
      <c r="AE4" s="27"/>
    </row>
    <row r="5" spans="1:31" ht="28.8" x14ac:dyDescent="0.3">
      <c r="A5" s="2"/>
      <c r="B5" s="68" t="s">
        <v>27</v>
      </c>
      <c r="C5" s="69" t="s">
        <v>28</v>
      </c>
      <c r="D5" s="70" t="s">
        <v>29</v>
      </c>
      <c r="E5" s="69" t="s">
        <v>27</v>
      </c>
      <c r="F5" s="69" t="s">
        <v>28</v>
      </c>
      <c r="G5" s="69" t="s">
        <v>29</v>
      </c>
      <c r="H5" s="68" t="s">
        <v>27</v>
      </c>
      <c r="I5" s="69" t="s">
        <v>28</v>
      </c>
      <c r="J5" s="70" t="s">
        <v>29</v>
      </c>
      <c r="K5" s="69" t="s">
        <v>27</v>
      </c>
      <c r="L5" s="69" t="s">
        <v>28</v>
      </c>
      <c r="M5" s="70" t="s">
        <v>29</v>
      </c>
      <c r="N5" s="69" t="s">
        <v>27</v>
      </c>
      <c r="O5" s="69" t="s">
        <v>28</v>
      </c>
      <c r="P5" s="70" t="s">
        <v>29</v>
      </c>
      <c r="Q5" s="68" t="s">
        <v>27</v>
      </c>
      <c r="R5" s="69" t="s">
        <v>28</v>
      </c>
      <c r="S5" s="70" t="s">
        <v>29</v>
      </c>
      <c r="T5" s="71" t="s">
        <v>27</v>
      </c>
      <c r="U5" s="72" t="s">
        <v>28</v>
      </c>
      <c r="V5" s="73" t="s">
        <v>29</v>
      </c>
      <c r="W5" s="74" t="s">
        <v>27</v>
      </c>
      <c r="X5" s="9" t="s">
        <v>28</v>
      </c>
      <c r="Y5" s="10" t="s">
        <v>29</v>
      </c>
      <c r="Z5" s="75" t="s">
        <v>27</v>
      </c>
      <c r="AA5" s="9" t="s">
        <v>28</v>
      </c>
      <c r="AB5" s="10" t="s">
        <v>29</v>
      </c>
      <c r="AC5" s="74" t="s">
        <v>27</v>
      </c>
      <c r="AD5" s="66" t="s">
        <v>85</v>
      </c>
      <c r="AE5" s="76" t="s">
        <v>86</v>
      </c>
    </row>
    <row r="6" spans="1:31" x14ac:dyDescent="0.3">
      <c r="A6" s="6" t="s">
        <v>30</v>
      </c>
      <c r="B6" s="15">
        <v>40234500</v>
      </c>
      <c r="C6" s="16">
        <v>15662000</v>
      </c>
      <c r="D6" s="24">
        <v>55896500</v>
      </c>
      <c r="E6" s="16">
        <v>41399500</v>
      </c>
      <c r="F6" s="16">
        <v>16260500</v>
      </c>
      <c r="G6" s="16">
        <v>57660000</v>
      </c>
      <c r="H6" s="15">
        <v>44021500</v>
      </c>
      <c r="I6" s="16">
        <v>17382000</v>
      </c>
      <c r="J6" s="24">
        <v>61403500</v>
      </c>
      <c r="K6" s="16">
        <v>46338500</v>
      </c>
      <c r="L6" s="16">
        <v>18793000</v>
      </c>
      <c r="M6" s="24">
        <v>65131000</v>
      </c>
      <c r="N6" s="16">
        <v>45805000</v>
      </c>
      <c r="O6" s="16">
        <v>18083000</v>
      </c>
      <c r="P6" s="24">
        <v>63888000</v>
      </c>
      <c r="Q6" s="15">
        <v>42211000</v>
      </c>
      <c r="R6" s="16">
        <v>16513500</v>
      </c>
      <c r="S6" s="24">
        <v>58724500</v>
      </c>
      <c r="T6" s="28">
        <v>54451500</v>
      </c>
      <c r="U6" s="30">
        <v>22836000</v>
      </c>
      <c r="V6" s="35">
        <v>77287500</v>
      </c>
      <c r="W6" s="28">
        <v>66537000</v>
      </c>
      <c r="X6" s="37">
        <v>27666000</v>
      </c>
      <c r="Y6" s="54">
        <v>94203000</v>
      </c>
      <c r="Z6" s="30">
        <v>68869000</v>
      </c>
      <c r="AA6" s="37">
        <v>28573000</v>
      </c>
      <c r="AB6" s="55">
        <v>97442000</v>
      </c>
      <c r="AC6" s="30">
        <v>76974000</v>
      </c>
      <c r="AD6" s="37">
        <v>32199000</v>
      </c>
      <c r="AE6" s="55">
        <v>109172500</v>
      </c>
    </row>
    <row r="7" spans="1:31" x14ac:dyDescent="0.3">
      <c r="A7" s="6" t="s">
        <v>31</v>
      </c>
      <c r="B7" s="15">
        <v>2380500</v>
      </c>
      <c r="C7" s="16">
        <v>854000</v>
      </c>
      <c r="D7" s="24">
        <v>3234500</v>
      </c>
      <c r="E7" s="16">
        <v>2601500</v>
      </c>
      <c r="F7" s="16">
        <v>984000</v>
      </c>
      <c r="G7" s="16">
        <v>3585500</v>
      </c>
      <c r="H7" s="15">
        <v>3509500</v>
      </c>
      <c r="I7" s="16">
        <v>1301000</v>
      </c>
      <c r="J7" s="24">
        <v>4810000</v>
      </c>
      <c r="K7" s="16">
        <v>3681000</v>
      </c>
      <c r="L7" s="16">
        <v>1366500</v>
      </c>
      <c r="M7" s="24">
        <v>5047500</v>
      </c>
      <c r="N7" s="16">
        <v>5456000</v>
      </c>
      <c r="O7" s="16">
        <v>2446000</v>
      </c>
      <c r="P7" s="24">
        <v>7902500</v>
      </c>
      <c r="Q7" s="15">
        <v>4882000</v>
      </c>
      <c r="R7" s="16">
        <v>2053500</v>
      </c>
      <c r="S7" s="24">
        <v>6936000</v>
      </c>
      <c r="T7" s="28">
        <v>7884500</v>
      </c>
      <c r="U7" s="30">
        <v>3755000</v>
      </c>
      <c r="V7" s="35">
        <v>11639500</v>
      </c>
      <c r="W7" s="28">
        <v>10205000</v>
      </c>
      <c r="X7" s="37">
        <v>3978000</v>
      </c>
      <c r="Y7" s="54">
        <v>14182500</v>
      </c>
      <c r="Z7" s="30">
        <v>8076000</v>
      </c>
      <c r="AA7" s="37">
        <v>3464000</v>
      </c>
      <c r="AB7" s="54">
        <v>11540000</v>
      </c>
      <c r="AC7" s="30">
        <v>9406500</v>
      </c>
      <c r="AD7" s="37">
        <v>3877000</v>
      </c>
      <c r="AE7" s="54">
        <v>13283500</v>
      </c>
    </row>
    <row r="8" spans="1:31" x14ac:dyDescent="0.3">
      <c r="A8" s="6" t="s">
        <v>32</v>
      </c>
      <c r="B8" s="15">
        <v>3113500</v>
      </c>
      <c r="C8" s="16">
        <v>1268000</v>
      </c>
      <c r="D8" s="24">
        <v>4381500</v>
      </c>
      <c r="E8" s="16">
        <v>3334000</v>
      </c>
      <c r="F8" s="16">
        <v>1403500</v>
      </c>
      <c r="G8" s="16">
        <v>4738000</v>
      </c>
      <c r="H8" s="15">
        <v>2861000</v>
      </c>
      <c r="I8" s="16">
        <v>1166000</v>
      </c>
      <c r="J8" s="24">
        <v>4026500</v>
      </c>
      <c r="K8" s="16">
        <v>3483000</v>
      </c>
      <c r="L8" s="16">
        <v>1479500</v>
      </c>
      <c r="M8" s="24">
        <v>4963000</v>
      </c>
      <c r="N8" s="16">
        <v>2677000</v>
      </c>
      <c r="O8" s="16">
        <v>1095500</v>
      </c>
      <c r="P8" s="24">
        <v>3772000</v>
      </c>
      <c r="Q8" s="15">
        <v>2218000</v>
      </c>
      <c r="R8" s="16">
        <v>885500</v>
      </c>
      <c r="S8" s="24">
        <v>3103500</v>
      </c>
      <c r="T8" s="28">
        <v>3906000</v>
      </c>
      <c r="U8" s="30">
        <v>1656500</v>
      </c>
      <c r="V8" s="35">
        <v>5562500</v>
      </c>
      <c r="W8" s="28">
        <v>6087000</v>
      </c>
      <c r="X8" s="37">
        <v>2406500</v>
      </c>
      <c r="Y8" s="54">
        <v>8494000</v>
      </c>
      <c r="Z8" s="30">
        <v>5838500</v>
      </c>
      <c r="AA8" s="37">
        <v>2566000</v>
      </c>
      <c r="AB8" s="54">
        <v>8404500</v>
      </c>
      <c r="AC8" s="30">
        <v>6282500</v>
      </c>
      <c r="AD8" s="37">
        <v>2498000</v>
      </c>
      <c r="AE8" s="54">
        <v>8780500</v>
      </c>
    </row>
    <row r="9" spans="1:31" x14ac:dyDescent="0.3">
      <c r="A9" s="6" t="s">
        <v>33</v>
      </c>
      <c r="B9" s="15">
        <v>2704000</v>
      </c>
      <c r="C9" s="16">
        <v>1349000</v>
      </c>
      <c r="D9" s="24">
        <v>4053000</v>
      </c>
      <c r="E9" s="16">
        <v>1767000</v>
      </c>
      <c r="F9" s="16">
        <v>836000</v>
      </c>
      <c r="G9" s="16">
        <v>2603000</v>
      </c>
      <c r="H9" s="15">
        <v>1370500</v>
      </c>
      <c r="I9" s="16">
        <v>525500</v>
      </c>
      <c r="J9" s="24">
        <v>1896000</v>
      </c>
      <c r="K9" s="16">
        <v>1768500</v>
      </c>
      <c r="L9" s="16">
        <v>700000</v>
      </c>
      <c r="M9" s="24">
        <v>2468500</v>
      </c>
      <c r="N9" s="16">
        <v>1619000</v>
      </c>
      <c r="O9" s="16">
        <v>636500</v>
      </c>
      <c r="P9" s="24">
        <v>2255500</v>
      </c>
      <c r="Q9" s="15">
        <v>1659000</v>
      </c>
      <c r="R9" s="16">
        <v>639500</v>
      </c>
      <c r="S9" s="24">
        <v>2298000</v>
      </c>
      <c r="T9" s="28">
        <v>2622000</v>
      </c>
      <c r="U9" s="30">
        <v>1096000</v>
      </c>
      <c r="V9" s="35">
        <v>3718000</v>
      </c>
      <c r="W9" s="28">
        <v>3679000</v>
      </c>
      <c r="X9" s="37">
        <v>1639500</v>
      </c>
      <c r="Y9" s="54">
        <v>5318500</v>
      </c>
      <c r="Z9" s="30">
        <v>4764000</v>
      </c>
      <c r="AA9" s="37">
        <v>2117500</v>
      </c>
      <c r="AB9" s="54">
        <v>6881500</v>
      </c>
      <c r="AC9" s="30">
        <v>4090000</v>
      </c>
      <c r="AD9" s="37">
        <v>1981500</v>
      </c>
      <c r="AE9" s="54">
        <v>6072000</v>
      </c>
    </row>
    <row r="10" spans="1:31" x14ac:dyDescent="0.3">
      <c r="A10" s="6" t="s">
        <v>34</v>
      </c>
      <c r="B10" s="15">
        <v>313000</v>
      </c>
      <c r="C10" s="16">
        <v>126500</v>
      </c>
      <c r="D10" s="24">
        <v>439500</v>
      </c>
      <c r="E10" s="16">
        <v>400000</v>
      </c>
      <c r="F10" s="16">
        <v>171000</v>
      </c>
      <c r="G10" s="16">
        <v>571000</v>
      </c>
      <c r="H10" s="15">
        <v>617000</v>
      </c>
      <c r="I10" s="16">
        <v>258500</v>
      </c>
      <c r="J10" s="24">
        <v>876000</v>
      </c>
      <c r="K10" s="16">
        <v>425500</v>
      </c>
      <c r="L10" s="16">
        <v>184500</v>
      </c>
      <c r="M10" s="24">
        <v>610000</v>
      </c>
      <c r="N10" s="16">
        <v>537500</v>
      </c>
      <c r="O10" s="16">
        <v>223500</v>
      </c>
      <c r="P10" s="24">
        <v>761000</v>
      </c>
      <c r="Q10" s="15">
        <v>664500</v>
      </c>
      <c r="R10" s="16">
        <v>272000</v>
      </c>
      <c r="S10" s="24">
        <v>937000</v>
      </c>
      <c r="T10" s="28">
        <v>733500</v>
      </c>
      <c r="U10" s="30">
        <v>309500</v>
      </c>
      <c r="V10" s="35">
        <v>1043000</v>
      </c>
      <c r="W10" s="28">
        <v>884000</v>
      </c>
      <c r="X10" s="37">
        <v>363500</v>
      </c>
      <c r="Y10" s="54">
        <v>1247500</v>
      </c>
      <c r="Z10" s="30">
        <v>969500</v>
      </c>
      <c r="AA10" s="37">
        <v>413500</v>
      </c>
      <c r="AB10" s="54">
        <v>1383500</v>
      </c>
      <c r="AC10" s="30">
        <v>1153000</v>
      </c>
      <c r="AD10" s="37">
        <v>497000</v>
      </c>
      <c r="AE10" s="54">
        <v>1650000</v>
      </c>
    </row>
    <row r="11" spans="1:31" x14ac:dyDescent="0.3">
      <c r="A11" s="6" t="s">
        <v>35</v>
      </c>
      <c r="B11" s="15">
        <v>83000</v>
      </c>
      <c r="C11" s="16">
        <v>24000</v>
      </c>
      <c r="D11" s="24">
        <v>107000</v>
      </c>
      <c r="E11" s="16">
        <v>80500</v>
      </c>
      <c r="F11" s="16">
        <v>23500</v>
      </c>
      <c r="G11" s="16">
        <v>104000</v>
      </c>
      <c r="H11" s="15">
        <v>43000</v>
      </c>
      <c r="I11" s="16">
        <v>11500</v>
      </c>
      <c r="J11" s="24">
        <v>54500</v>
      </c>
      <c r="K11" s="16">
        <v>37000</v>
      </c>
      <c r="L11" s="16">
        <v>9000</v>
      </c>
      <c r="M11" s="24">
        <v>46000</v>
      </c>
      <c r="N11" s="16">
        <v>33500</v>
      </c>
      <c r="O11" s="16">
        <v>8500</v>
      </c>
      <c r="P11" s="24">
        <v>42000</v>
      </c>
      <c r="Q11" s="15">
        <v>39500</v>
      </c>
      <c r="R11" s="16">
        <v>11000</v>
      </c>
      <c r="S11" s="24">
        <v>50500</v>
      </c>
      <c r="T11" s="28">
        <v>47000</v>
      </c>
      <c r="U11" s="30">
        <v>14500</v>
      </c>
      <c r="V11" s="35">
        <v>61500</v>
      </c>
      <c r="W11" s="28">
        <v>543000</v>
      </c>
      <c r="X11" s="37">
        <v>143500</v>
      </c>
      <c r="Y11" s="54">
        <v>686500</v>
      </c>
      <c r="Z11" s="30">
        <v>684000</v>
      </c>
      <c r="AA11" s="37">
        <v>196500</v>
      </c>
      <c r="AB11" s="54">
        <v>880500</v>
      </c>
      <c r="AC11" s="30">
        <v>874000</v>
      </c>
      <c r="AD11" s="37">
        <v>259000</v>
      </c>
      <c r="AE11" s="54">
        <v>1133000</v>
      </c>
    </row>
    <row r="12" spans="1:31" x14ac:dyDescent="0.3">
      <c r="A12" s="6" t="s">
        <v>36</v>
      </c>
      <c r="B12" s="15">
        <v>4500</v>
      </c>
      <c r="C12" s="16">
        <v>1000</v>
      </c>
      <c r="D12" s="24">
        <v>5500</v>
      </c>
      <c r="E12" s="16">
        <v>1500</v>
      </c>
      <c r="F12" s="32" t="s">
        <v>37</v>
      </c>
      <c r="G12" s="16">
        <v>2000</v>
      </c>
      <c r="H12" s="15">
        <v>2000</v>
      </c>
      <c r="I12" s="32">
        <v>500</v>
      </c>
      <c r="J12" s="24">
        <v>2500</v>
      </c>
      <c r="K12" s="16">
        <v>3000</v>
      </c>
      <c r="L12" s="16">
        <v>1000</v>
      </c>
      <c r="M12" s="24">
        <v>4000</v>
      </c>
      <c r="N12" s="16">
        <v>19500</v>
      </c>
      <c r="O12" s="16">
        <v>5500</v>
      </c>
      <c r="P12" s="24">
        <v>25000</v>
      </c>
      <c r="Q12" s="15">
        <v>24500</v>
      </c>
      <c r="R12" s="16">
        <v>7500</v>
      </c>
      <c r="S12" s="24">
        <v>32000</v>
      </c>
      <c r="T12" s="28">
        <v>77000</v>
      </c>
      <c r="U12" s="30">
        <v>24000</v>
      </c>
      <c r="V12" s="35">
        <v>101000</v>
      </c>
      <c r="W12" s="28">
        <v>237000</v>
      </c>
      <c r="X12" s="37">
        <v>78000</v>
      </c>
      <c r="Y12" s="54">
        <v>315000</v>
      </c>
      <c r="Z12" s="30">
        <v>61000</v>
      </c>
      <c r="AA12" s="37">
        <v>20500</v>
      </c>
      <c r="AB12" s="54">
        <v>81000</v>
      </c>
      <c r="AC12" s="30">
        <v>97500</v>
      </c>
      <c r="AD12" s="37">
        <v>28500</v>
      </c>
      <c r="AE12" s="54">
        <v>126000</v>
      </c>
    </row>
    <row r="13" spans="1:31" x14ac:dyDescent="0.3">
      <c r="A13" s="2" t="s">
        <v>38</v>
      </c>
      <c r="B13" s="15">
        <v>4083000</v>
      </c>
      <c r="C13" s="16">
        <v>1513500</v>
      </c>
      <c r="D13" s="24">
        <v>5596500</v>
      </c>
      <c r="E13" s="16">
        <v>3850500</v>
      </c>
      <c r="F13" s="16">
        <v>1471500</v>
      </c>
      <c r="G13" s="16">
        <v>5322500</v>
      </c>
      <c r="H13" s="15">
        <v>3828500</v>
      </c>
      <c r="I13" s="16">
        <v>1424000</v>
      </c>
      <c r="J13" s="24">
        <v>5253000</v>
      </c>
      <c r="K13" s="16">
        <v>3737500</v>
      </c>
      <c r="L13" s="16">
        <v>1489500</v>
      </c>
      <c r="M13" s="24">
        <v>5227000</v>
      </c>
      <c r="N13" s="16">
        <v>3662500</v>
      </c>
      <c r="O13" s="16">
        <v>1319500</v>
      </c>
      <c r="P13" s="24">
        <v>4982000</v>
      </c>
      <c r="Q13" s="15">
        <v>4350500</v>
      </c>
      <c r="R13" s="16">
        <v>1555500</v>
      </c>
      <c r="S13" s="24">
        <v>5906000</v>
      </c>
      <c r="T13" s="28">
        <v>3515000</v>
      </c>
      <c r="U13" s="30">
        <v>1288500</v>
      </c>
      <c r="V13" s="35">
        <v>4803500</v>
      </c>
      <c r="W13" s="28">
        <v>5003000</v>
      </c>
      <c r="X13" s="37">
        <v>1719500</v>
      </c>
      <c r="Y13" s="54">
        <v>6722500</v>
      </c>
      <c r="Z13" s="30">
        <v>9128000</v>
      </c>
      <c r="AA13" s="37">
        <v>3488500</v>
      </c>
      <c r="AB13" s="54">
        <v>12616500</v>
      </c>
      <c r="AC13" s="30">
        <v>11718500</v>
      </c>
      <c r="AD13" s="37">
        <v>4417000</v>
      </c>
      <c r="AE13" s="54">
        <v>16135500</v>
      </c>
    </row>
    <row r="14" spans="1:31" x14ac:dyDescent="0.3">
      <c r="A14" s="2" t="s">
        <v>39</v>
      </c>
      <c r="B14" s="15">
        <v>352500</v>
      </c>
      <c r="C14" s="16">
        <v>177000</v>
      </c>
      <c r="D14" s="24">
        <v>529500</v>
      </c>
      <c r="E14" s="16">
        <v>501500</v>
      </c>
      <c r="F14" s="16">
        <v>258500</v>
      </c>
      <c r="G14" s="16">
        <v>760500</v>
      </c>
      <c r="H14" s="15">
        <v>1358500</v>
      </c>
      <c r="I14" s="16">
        <v>652000</v>
      </c>
      <c r="J14" s="24">
        <v>2011000</v>
      </c>
      <c r="K14" s="16">
        <v>912500</v>
      </c>
      <c r="L14" s="16">
        <v>465000</v>
      </c>
      <c r="M14" s="24">
        <v>1377000</v>
      </c>
      <c r="N14" s="16">
        <v>676000</v>
      </c>
      <c r="O14" s="16">
        <v>281500</v>
      </c>
      <c r="P14" s="24">
        <v>957500</v>
      </c>
      <c r="Q14" s="15">
        <v>1028000</v>
      </c>
      <c r="R14" s="16">
        <v>516000</v>
      </c>
      <c r="S14" s="24">
        <v>1544000</v>
      </c>
      <c r="T14" s="28">
        <v>1390000</v>
      </c>
      <c r="U14" s="30">
        <v>695000</v>
      </c>
      <c r="V14" s="35">
        <v>2085000</v>
      </c>
      <c r="W14" s="28">
        <v>2310000</v>
      </c>
      <c r="X14" s="37">
        <v>1016000</v>
      </c>
      <c r="Y14" s="54">
        <v>3326500</v>
      </c>
      <c r="Z14" s="30">
        <v>2099000</v>
      </c>
      <c r="AA14" s="37">
        <v>921000</v>
      </c>
      <c r="AB14" s="54">
        <v>3020000</v>
      </c>
      <c r="AC14" s="30">
        <v>1985500</v>
      </c>
      <c r="AD14" s="37">
        <v>837500</v>
      </c>
      <c r="AE14" s="54">
        <v>2823000</v>
      </c>
    </row>
    <row r="15" spans="1:31" x14ac:dyDescent="0.3">
      <c r="A15" s="2" t="s">
        <v>40</v>
      </c>
      <c r="B15" s="15">
        <v>1153000</v>
      </c>
      <c r="C15" s="16">
        <v>385000</v>
      </c>
      <c r="D15" s="24">
        <v>1538000</v>
      </c>
      <c r="E15" s="16">
        <v>1163000</v>
      </c>
      <c r="F15" s="16">
        <v>372500</v>
      </c>
      <c r="G15" s="16">
        <v>1535500</v>
      </c>
      <c r="H15" s="15">
        <v>713000</v>
      </c>
      <c r="I15" s="16">
        <v>285000</v>
      </c>
      <c r="J15" s="24">
        <v>998000</v>
      </c>
      <c r="K15" s="16">
        <v>660000</v>
      </c>
      <c r="L15" s="16">
        <v>256500</v>
      </c>
      <c r="M15" s="24">
        <v>916500</v>
      </c>
      <c r="N15" s="16">
        <v>457500</v>
      </c>
      <c r="O15" s="16">
        <v>174500</v>
      </c>
      <c r="P15" s="24">
        <v>632000</v>
      </c>
      <c r="Q15" s="15">
        <v>510500</v>
      </c>
      <c r="R15" s="16">
        <v>188000</v>
      </c>
      <c r="S15" s="24">
        <v>698500</v>
      </c>
      <c r="T15" s="28">
        <v>1185000</v>
      </c>
      <c r="U15" s="30">
        <v>468500</v>
      </c>
      <c r="V15" s="35">
        <v>1653500</v>
      </c>
      <c r="W15" s="28">
        <v>1015500</v>
      </c>
      <c r="X15" s="37">
        <v>414500</v>
      </c>
      <c r="Y15" s="54">
        <v>1430000</v>
      </c>
      <c r="Z15" s="30">
        <v>703000</v>
      </c>
      <c r="AA15" s="37">
        <v>303000</v>
      </c>
      <c r="AB15" s="54">
        <v>1006000</v>
      </c>
      <c r="AC15" s="30">
        <v>621500</v>
      </c>
      <c r="AD15" s="37">
        <v>273500</v>
      </c>
      <c r="AE15" s="54">
        <v>895000</v>
      </c>
    </row>
    <row r="16" spans="1:31" x14ac:dyDescent="0.3">
      <c r="A16" s="2" t="s">
        <v>41</v>
      </c>
      <c r="B16" s="15">
        <v>4261500</v>
      </c>
      <c r="C16" s="16">
        <v>1653000</v>
      </c>
      <c r="D16" s="24">
        <v>5914000</v>
      </c>
      <c r="E16" s="16">
        <v>3152500</v>
      </c>
      <c r="F16" s="16">
        <v>1217500</v>
      </c>
      <c r="G16" s="16">
        <v>4370000</v>
      </c>
      <c r="H16" s="15">
        <v>3870000</v>
      </c>
      <c r="I16" s="16">
        <v>1505500</v>
      </c>
      <c r="J16" s="24">
        <v>5375500</v>
      </c>
      <c r="K16" s="16">
        <v>4217500</v>
      </c>
      <c r="L16" s="16">
        <v>1646500</v>
      </c>
      <c r="M16" s="24">
        <v>5863500</v>
      </c>
      <c r="N16" s="16">
        <v>4581500</v>
      </c>
      <c r="O16" s="16">
        <v>1702000</v>
      </c>
      <c r="P16" s="24">
        <v>6284000</v>
      </c>
      <c r="Q16" s="15">
        <v>3475000</v>
      </c>
      <c r="R16" s="16">
        <v>1266500</v>
      </c>
      <c r="S16" s="24">
        <v>4741000</v>
      </c>
      <c r="T16" s="28">
        <v>3870500</v>
      </c>
      <c r="U16" s="30">
        <v>1494500</v>
      </c>
      <c r="V16" s="35">
        <v>5365500</v>
      </c>
      <c r="W16" s="28">
        <v>5209000</v>
      </c>
      <c r="X16" s="37">
        <v>2014000</v>
      </c>
      <c r="Y16" s="54">
        <v>7223000</v>
      </c>
      <c r="Z16" s="30">
        <v>5598500</v>
      </c>
      <c r="AA16" s="37">
        <v>2255500</v>
      </c>
      <c r="AB16" s="54">
        <v>7854000</v>
      </c>
      <c r="AC16" s="30">
        <v>5839500</v>
      </c>
      <c r="AD16" s="37">
        <v>2386500</v>
      </c>
      <c r="AE16" s="54">
        <v>8226000</v>
      </c>
    </row>
    <row r="17" spans="1:31" x14ac:dyDescent="0.3">
      <c r="A17" s="2" t="s">
        <v>42</v>
      </c>
      <c r="B17" s="15">
        <v>700500</v>
      </c>
      <c r="C17" s="16">
        <v>212500</v>
      </c>
      <c r="D17" s="24">
        <v>913000</v>
      </c>
      <c r="E17" s="16">
        <v>553000</v>
      </c>
      <c r="F17" s="16">
        <v>159500</v>
      </c>
      <c r="G17" s="16">
        <v>712500</v>
      </c>
      <c r="H17" s="15">
        <v>239500</v>
      </c>
      <c r="I17" s="16">
        <v>75000</v>
      </c>
      <c r="J17" s="24">
        <v>315000</v>
      </c>
      <c r="K17" s="16">
        <v>117500</v>
      </c>
      <c r="L17" s="16">
        <v>43500</v>
      </c>
      <c r="M17" s="24">
        <v>161000</v>
      </c>
      <c r="N17" s="16">
        <v>98000</v>
      </c>
      <c r="O17" s="16">
        <v>31500</v>
      </c>
      <c r="P17" s="24">
        <v>129500</v>
      </c>
      <c r="Q17" s="15">
        <v>58500</v>
      </c>
      <c r="R17" s="16">
        <v>21000</v>
      </c>
      <c r="S17" s="24">
        <v>79500</v>
      </c>
      <c r="T17" s="28">
        <v>83000</v>
      </c>
      <c r="U17" s="30">
        <v>30500</v>
      </c>
      <c r="V17" s="35">
        <v>113500</v>
      </c>
      <c r="W17" s="28">
        <v>271000</v>
      </c>
      <c r="X17" s="37">
        <v>99500</v>
      </c>
      <c r="Y17" s="54">
        <v>370500</v>
      </c>
      <c r="Z17" s="30">
        <v>102500</v>
      </c>
      <c r="AA17" s="37">
        <v>32000</v>
      </c>
      <c r="AB17" s="54">
        <v>134000</v>
      </c>
      <c r="AC17" s="30">
        <v>263500</v>
      </c>
      <c r="AD17" s="37">
        <v>94000</v>
      </c>
      <c r="AE17" s="54">
        <v>357500</v>
      </c>
    </row>
    <row r="18" spans="1:31" x14ac:dyDescent="0.3">
      <c r="A18" s="2" t="s">
        <v>43</v>
      </c>
      <c r="B18" s="15">
        <v>2657000</v>
      </c>
      <c r="C18" s="16">
        <v>1186500</v>
      </c>
      <c r="D18" s="24">
        <v>3844000</v>
      </c>
      <c r="E18" s="16">
        <v>4062500</v>
      </c>
      <c r="F18" s="16">
        <v>1848500</v>
      </c>
      <c r="G18" s="16">
        <v>5911000</v>
      </c>
      <c r="H18" s="15">
        <v>3433000</v>
      </c>
      <c r="I18" s="16">
        <v>1511000</v>
      </c>
      <c r="J18" s="24">
        <v>4944000</v>
      </c>
      <c r="K18" s="16">
        <v>2444500</v>
      </c>
      <c r="L18" s="16">
        <v>1105000</v>
      </c>
      <c r="M18" s="24">
        <v>3549500</v>
      </c>
      <c r="N18" s="16">
        <v>2371000</v>
      </c>
      <c r="O18" s="16">
        <v>910000</v>
      </c>
      <c r="P18" s="24">
        <v>3281000</v>
      </c>
      <c r="Q18" s="15">
        <v>1976000</v>
      </c>
      <c r="R18" s="16">
        <v>821500</v>
      </c>
      <c r="S18" s="24">
        <v>2797500</v>
      </c>
      <c r="T18" s="28">
        <v>3214500</v>
      </c>
      <c r="U18" s="30">
        <v>1200500</v>
      </c>
      <c r="V18" s="35">
        <v>4415000</v>
      </c>
      <c r="W18" s="28">
        <v>3187000</v>
      </c>
      <c r="X18" s="37">
        <v>1424500</v>
      </c>
      <c r="Y18" s="54">
        <v>4611500</v>
      </c>
      <c r="Z18" s="30">
        <v>2828000</v>
      </c>
      <c r="AA18" s="37">
        <v>1232500</v>
      </c>
      <c r="AB18" s="54">
        <v>4060500</v>
      </c>
      <c r="AC18" s="30">
        <v>3135000</v>
      </c>
      <c r="AD18" s="37">
        <v>1395000</v>
      </c>
      <c r="AE18" s="54">
        <v>4530000</v>
      </c>
    </row>
    <row r="19" spans="1:31" x14ac:dyDescent="0.3">
      <c r="A19" s="2" t="s">
        <v>44</v>
      </c>
      <c r="B19" s="15">
        <v>12626500</v>
      </c>
      <c r="C19" s="16">
        <v>4644000</v>
      </c>
      <c r="D19" s="24">
        <v>17270500</v>
      </c>
      <c r="E19" s="16">
        <v>13598500</v>
      </c>
      <c r="F19" s="16">
        <v>5083500</v>
      </c>
      <c r="G19" s="16">
        <v>18682000</v>
      </c>
      <c r="H19" s="15">
        <v>15292500</v>
      </c>
      <c r="I19" s="16">
        <v>6088000</v>
      </c>
      <c r="J19" s="24">
        <v>21380500</v>
      </c>
      <c r="K19" s="16">
        <v>16636000</v>
      </c>
      <c r="L19" s="16">
        <v>6371500</v>
      </c>
      <c r="M19" s="24">
        <v>23007500</v>
      </c>
      <c r="N19" s="16">
        <v>14175000</v>
      </c>
      <c r="O19" s="16">
        <v>5349500</v>
      </c>
      <c r="P19" s="24">
        <v>19524000</v>
      </c>
      <c r="Q19" s="15">
        <v>11949500</v>
      </c>
      <c r="R19" s="16">
        <v>4451000</v>
      </c>
      <c r="S19" s="24">
        <v>16400500</v>
      </c>
      <c r="T19" s="28">
        <v>14249000</v>
      </c>
      <c r="U19" s="30">
        <v>5952500</v>
      </c>
      <c r="V19" s="35">
        <v>20201500</v>
      </c>
      <c r="W19" s="28">
        <v>15753000</v>
      </c>
      <c r="X19" s="37">
        <v>6658000</v>
      </c>
      <c r="Y19" s="54">
        <v>22411000</v>
      </c>
      <c r="Z19" s="30">
        <v>14782000</v>
      </c>
      <c r="AA19" s="37">
        <v>5968000</v>
      </c>
      <c r="AB19" s="54">
        <v>20750500</v>
      </c>
      <c r="AC19" s="30">
        <v>15046500</v>
      </c>
      <c r="AD19" s="37">
        <v>6254500</v>
      </c>
      <c r="AE19" s="54">
        <v>21301000</v>
      </c>
    </row>
    <row r="20" spans="1:31" x14ac:dyDescent="0.3">
      <c r="A20" s="2" t="s">
        <v>45</v>
      </c>
      <c r="B20" s="15">
        <v>1419000</v>
      </c>
      <c r="C20" s="16">
        <v>515000</v>
      </c>
      <c r="D20" s="24">
        <v>1934000</v>
      </c>
      <c r="E20" s="16">
        <v>2179000</v>
      </c>
      <c r="F20" s="16">
        <v>767000</v>
      </c>
      <c r="G20" s="16">
        <v>2946000</v>
      </c>
      <c r="H20" s="15">
        <v>1635500</v>
      </c>
      <c r="I20" s="16">
        <v>605500</v>
      </c>
      <c r="J20" s="24">
        <v>2241000</v>
      </c>
      <c r="K20" s="16">
        <v>1670000</v>
      </c>
      <c r="L20" s="16">
        <v>640000</v>
      </c>
      <c r="M20" s="24">
        <v>2310500</v>
      </c>
      <c r="N20" s="16">
        <v>1607500</v>
      </c>
      <c r="O20" s="16">
        <v>581500</v>
      </c>
      <c r="P20" s="24">
        <v>2189000</v>
      </c>
      <c r="Q20" s="15">
        <v>1306000</v>
      </c>
      <c r="R20" s="16">
        <v>483000</v>
      </c>
      <c r="S20" s="24">
        <v>1789000</v>
      </c>
      <c r="T20" s="28">
        <v>1721000</v>
      </c>
      <c r="U20" s="30">
        <v>646500</v>
      </c>
      <c r="V20" s="35">
        <v>2367000</v>
      </c>
      <c r="W20" s="28">
        <v>2352500</v>
      </c>
      <c r="X20" s="37">
        <v>971500</v>
      </c>
      <c r="Y20" s="54">
        <v>3324000</v>
      </c>
      <c r="Z20" s="30">
        <v>2467000</v>
      </c>
      <c r="AA20" s="37">
        <v>980500</v>
      </c>
      <c r="AB20" s="54">
        <v>3448000</v>
      </c>
      <c r="AC20" s="30">
        <v>2874500</v>
      </c>
      <c r="AD20" s="37">
        <v>1213000</v>
      </c>
      <c r="AE20" s="54">
        <v>4087500</v>
      </c>
    </row>
    <row r="21" spans="1:31" x14ac:dyDescent="0.3">
      <c r="A21" s="2" t="s">
        <v>46</v>
      </c>
      <c r="B21" s="15">
        <v>680000</v>
      </c>
      <c r="C21" s="16">
        <v>174500</v>
      </c>
      <c r="D21" s="24">
        <v>854500</v>
      </c>
      <c r="E21" s="16">
        <v>544500</v>
      </c>
      <c r="F21" s="16">
        <v>140000</v>
      </c>
      <c r="G21" s="16">
        <v>684000</v>
      </c>
      <c r="H21" s="15">
        <v>1138500</v>
      </c>
      <c r="I21" s="16">
        <v>277500</v>
      </c>
      <c r="J21" s="24">
        <v>1416000</v>
      </c>
      <c r="K21" s="16">
        <v>718500</v>
      </c>
      <c r="L21" s="16">
        <v>182500</v>
      </c>
      <c r="M21" s="24">
        <v>901000</v>
      </c>
      <c r="N21" s="16">
        <v>574500</v>
      </c>
      <c r="O21" s="16">
        <v>141500</v>
      </c>
      <c r="P21" s="24">
        <v>716000</v>
      </c>
      <c r="Q21" s="15">
        <v>809500</v>
      </c>
      <c r="R21" s="16">
        <v>189000</v>
      </c>
      <c r="S21" s="24">
        <v>998500</v>
      </c>
      <c r="T21" s="28">
        <v>813500</v>
      </c>
      <c r="U21" s="30">
        <v>207500</v>
      </c>
      <c r="V21" s="35">
        <v>1020500</v>
      </c>
      <c r="W21" s="28">
        <v>1278000</v>
      </c>
      <c r="X21" s="37">
        <v>346500</v>
      </c>
      <c r="Y21" s="54">
        <v>1624500</v>
      </c>
      <c r="Z21" s="30">
        <v>2097000</v>
      </c>
      <c r="AA21" s="37">
        <v>528000</v>
      </c>
      <c r="AB21" s="54">
        <v>2625000</v>
      </c>
      <c r="AC21" s="30">
        <v>1980000</v>
      </c>
      <c r="AD21" s="37">
        <v>508000</v>
      </c>
      <c r="AE21" s="54">
        <v>2488000</v>
      </c>
    </row>
    <row r="22" spans="1:31" x14ac:dyDescent="0.3">
      <c r="A22" s="2" t="s">
        <v>47</v>
      </c>
      <c r="B22" s="15">
        <v>3593500</v>
      </c>
      <c r="C22" s="16">
        <v>1541000</v>
      </c>
      <c r="D22" s="24">
        <v>5134500</v>
      </c>
      <c r="E22" s="16">
        <v>3378500</v>
      </c>
      <c r="F22" s="16">
        <v>1450500</v>
      </c>
      <c r="G22" s="16">
        <v>4829000</v>
      </c>
      <c r="H22" s="15">
        <v>3794000</v>
      </c>
      <c r="I22" s="16">
        <v>1592000</v>
      </c>
      <c r="J22" s="24">
        <v>5385500</v>
      </c>
      <c r="K22" s="16">
        <v>5331500</v>
      </c>
      <c r="L22" s="16">
        <v>2698000</v>
      </c>
      <c r="M22" s="24">
        <v>8029500</v>
      </c>
      <c r="N22" s="16">
        <v>7052500</v>
      </c>
      <c r="O22" s="16">
        <v>3099500</v>
      </c>
      <c r="P22" s="24">
        <v>10152000</v>
      </c>
      <c r="Q22" s="15">
        <v>7053500</v>
      </c>
      <c r="R22" s="16">
        <v>3085500</v>
      </c>
      <c r="S22" s="24">
        <v>10139000</v>
      </c>
      <c r="T22" s="28">
        <v>8560500</v>
      </c>
      <c r="U22" s="30">
        <v>3845500</v>
      </c>
      <c r="V22" s="35">
        <v>12406000</v>
      </c>
      <c r="W22" s="28">
        <v>7425000</v>
      </c>
      <c r="X22" s="37">
        <v>3998000</v>
      </c>
      <c r="Y22" s="54">
        <v>11423000</v>
      </c>
      <c r="Z22" s="30">
        <v>7588500</v>
      </c>
      <c r="AA22" s="37">
        <v>3696000</v>
      </c>
      <c r="AB22" s="54">
        <v>11284500</v>
      </c>
      <c r="AC22" s="30">
        <v>10517500</v>
      </c>
      <c r="AD22" s="37">
        <v>5278000</v>
      </c>
      <c r="AE22" s="54">
        <v>15795500</v>
      </c>
    </row>
    <row r="23" spans="1:31" x14ac:dyDescent="0.3">
      <c r="A23" s="2" t="s">
        <v>48</v>
      </c>
      <c r="B23" s="15">
        <v>109500</v>
      </c>
      <c r="C23" s="16">
        <v>37500</v>
      </c>
      <c r="D23" s="24">
        <v>147000</v>
      </c>
      <c r="E23" s="16">
        <v>231000</v>
      </c>
      <c r="F23" s="16">
        <v>72500</v>
      </c>
      <c r="G23" s="16">
        <v>303500</v>
      </c>
      <c r="H23" s="15">
        <v>315000</v>
      </c>
      <c r="I23" s="16">
        <v>103000</v>
      </c>
      <c r="J23" s="24">
        <v>418000</v>
      </c>
      <c r="K23" s="16">
        <v>494500</v>
      </c>
      <c r="L23" s="16">
        <v>154500</v>
      </c>
      <c r="M23" s="24">
        <v>648500</v>
      </c>
      <c r="N23" s="16">
        <v>207000</v>
      </c>
      <c r="O23" s="16">
        <v>75500</v>
      </c>
      <c r="P23" s="24">
        <v>282500</v>
      </c>
      <c r="Q23" s="15">
        <v>207000</v>
      </c>
      <c r="R23" s="16">
        <v>67000</v>
      </c>
      <c r="S23" s="24">
        <v>274000</v>
      </c>
      <c r="T23" s="28">
        <v>579000</v>
      </c>
      <c r="U23" s="30">
        <v>151500</v>
      </c>
      <c r="V23" s="35">
        <v>731000</v>
      </c>
      <c r="W23" s="28">
        <v>1097500</v>
      </c>
      <c r="X23" s="37">
        <v>395000</v>
      </c>
      <c r="Y23" s="54">
        <v>1492500</v>
      </c>
      <c r="Z23" s="30">
        <v>1082500</v>
      </c>
      <c r="AA23" s="37">
        <v>390000</v>
      </c>
      <c r="AB23" s="54">
        <v>1472500</v>
      </c>
      <c r="AC23" s="30">
        <v>1088000</v>
      </c>
      <c r="AD23" s="37">
        <v>401000</v>
      </c>
      <c r="AE23" s="54">
        <v>1489000</v>
      </c>
    </row>
    <row r="24" spans="1:31" x14ac:dyDescent="0.3">
      <c r="A24" s="44" t="s">
        <v>49</v>
      </c>
      <c r="B24" s="16"/>
      <c r="C24" s="16"/>
      <c r="D24" s="16"/>
      <c r="E24" s="16"/>
      <c r="F24" s="16"/>
      <c r="G24" s="16"/>
      <c r="H24" s="16"/>
      <c r="I24" s="16"/>
      <c r="J24" s="16"/>
      <c r="K24" s="16"/>
      <c r="L24" s="16"/>
      <c r="M24" s="16"/>
      <c r="N24" s="16"/>
      <c r="O24" s="16"/>
      <c r="P24" s="16"/>
      <c r="Q24" s="16"/>
      <c r="R24" s="16"/>
      <c r="S24" s="16"/>
      <c r="T24" s="30"/>
      <c r="U24" s="30"/>
      <c r="V24" s="77"/>
      <c r="W24" s="77"/>
      <c r="X24" s="36"/>
      <c r="Y24" s="36"/>
    </row>
    <row r="25" spans="1:31" x14ac:dyDescent="0.3">
      <c r="A25" s="2"/>
      <c r="B25" s="3"/>
      <c r="C25" s="3"/>
      <c r="D25" s="3"/>
      <c r="E25" s="3"/>
      <c r="F25" s="3"/>
      <c r="G25" s="3"/>
      <c r="H25" s="3"/>
      <c r="I25" s="3"/>
      <c r="J25" s="3"/>
      <c r="K25" s="3"/>
      <c r="L25" s="3"/>
      <c r="M25" s="3"/>
      <c r="N25" s="3"/>
      <c r="O25" s="3"/>
      <c r="P25" s="3"/>
      <c r="Q25" s="3"/>
      <c r="R25" s="3"/>
      <c r="S25" s="3"/>
      <c r="T25" s="3"/>
      <c r="U25" s="3"/>
      <c r="V25" s="3"/>
      <c r="W25" s="3"/>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sheetData>
  <conditionalFormatting sqref="C4 F4 I4 L4 O4 R4 U4 X4 B5:S5">
    <cfRule type="cellIs" dxfId="18" priority="25" operator="lessThan">
      <formula>101</formula>
    </cfRule>
  </conditionalFormatting>
  <conditionalFormatting sqref="T5:V5">
    <cfRule type="cellIs" dxfId="17" priority="24" operator="lessThan">
      <formula>101</formula>
    </cfRule>
  </conditionalFormatting>
  <conditionalFormatting sqref="W5:AB5">
    <cfRule type="cellIs" dxfId="16" priority="23" operator="lessThan">
      <formula>101</formula>
    </cfRule>
  </conditionalFormatting>
  <conditionalFormatting sqref="AA4">
    <cfRule type="cellIs" dxfId="15" priority="19" operator="lessThan">
      <formula>101</formula>
    </cfRule>
  </conditionalFormatting>
  <conditionalFormatting sqref="AC5">
    <cfRule type="cellIs" dxfId="14" priority="3" operator="lessThan">
      <formula>101</formula>
    </cfRule>
  </conditionalFormatting>
  <conditionalFormatting sqref="AD4">
    <cfRule type="cellIs" dxfId="13" priority="18" operator="lessThan">
      <formula>101</formula>
    </cfRule>
  </conditionalFormatting>
  <conditionalFormatting sqref="AD5">
    <cfRule type="cellIs" dxfId="12" priority="2" operator="lessThan">
      <formula>101</formula>
    </cfRule>
  </conditionalFormatting>
  <conditionalFormatting sqref="AE5">
    <cfRule type="cellIs" dxfId="11" priority="1" operator="lessThan">
      <formula>101</formula>
    </cfRule>
  </conditionalFormatting>
  <hyperlinks>
    <hyperlink ref="A3" location="Contents!A1" display="Back to contents" xr:uid="{00000000-0004-0000-0200-000000000000}"/>
    <hyperlink ref="A24" location="Metadata!A1" display="Please see Metadata tab for footnotes and further information" xr:uid="{00000000-0004-0000-0200-000001000000}"/>
  </hyperlinks>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5"/>
  <sheetViews>
    <sheetView workbookViewId="0"/>
  </sheetViews>
  <sheetFormatPr defaultRowHeight="14.4" x14ac:dyDescent="0.3"/>
  <cols>
    <col min="1" max="1" width="48.88671875" customWidth="1"/>
    <col min="2" max="25" width="10.5546875" customWidth="1"/>
    <col min="26" max="26" width="10.109375" customWidth="1"/>
    <col min="27" max="27" width="11.44140625" customWidth="1"/>
    <col min="28" max="28" width="10.44140625" customWidth="1"/>
    <col min="29" max="29" width="12.33203125" customWidth="1"/>
    <col min="30" max="30" width="13.5546875" customWidth="1"/>
    <col min="31" max="31" width="13.33203125" customWidth="1"/>
  </cols>
  <sheetData>
    <row r="1" spans="1:31" ht="19.95" customHeight="1" x14ac:dyDescent="0.4">
      <c r="A1" s="53" t="s">
        <v>50</v>
      </c>
      <c r="B1" s="3"/>
      <c r="C1" s="3"/>
      <c r="D1" s="3"/>
      <c r="E1" s="3"/>
      <c r="F1" s="3"/>
      <c r="G1" s="3"/>
      <c r="H1" s="3"/>
      <c r="I1" s="3"/>
      <c r="J1" s="3"/>
      <c r="K1" s="3"/>
      <c r="L1" s="3"/>
      <c r="M1" s="3"/>
      <c r="N1" s="3"/>
      <c r="O1" s="3"/>
      <c r="P1" s="3"/>
      <c r="Q1" s="3"/>
      <c r="R1" s="3"/>
      <c r="S1" s="3"/>
      <c r="T1" s="3"/>
      <c r="U1" s="3"/>
      <c r="V1" s="3"/>
      <c r="W1" s="3"/>
    </row>
    <row r="2" spans="1:31" x14ac:dyDescent="0.3">
      <c r="A2" s="3" t="s">
        <v>25</v>
      </c>
      <c r="B2" s="4"/>
      <c r="C2" s="4"/>
      <c r="D2" s="4"/>
      <c r="E2" s="4"/>
      <c r="F2" s="4"/>
      <c r="G2" s="4"/>
      <c r="H2" s="4"/>
      <c r="I2" s="17"/>
      <c r="J2" s="17"/>
      <c r="K2" s="17"/>
      <c r="L2" s="4"/>
      <c r="M2" s="4"/>
      <c r="N2" s="4"/>
      <c r="O2" s="5"/>
      <c r="P2" s="5"/>
      <c r="Q2" s="5"/>
      <c r="R2" s="5"/>
      <c r="S2" s="5"/>
      <c r="T2" s="5"/>
      <c r="U2" s="5"/>
      <c r="V2" s="5"/>
      <c r="W2" s="5"/>
    </row>
    <row r="3" spans="1:31" x14ac:dyDescent="0.3">
      <c r="A3" s="44" t="s">
        <v>23</v>
      </c>
      <c r="B3" s="3"/>
      <c r="C3" s="3"/>
      <c r="D3" s="3"/>
      <c r="E3" s="3"/>
      <c r="F3" s="3"/>
      <c r="G3" s="3"/>
      <c r="H3" s="3"/>
      <c r="I3" s="3"/>
      <c r="J3" s="3"/>
      <c r="K3" s="3"/>
      <c r="L3" s="3"/>
      <c r="M3" s="3"/>
      <c r="N3" s="3"/>
      <c r="O3" s="5"/>
      <c r="P3" s="5"/>
      <c r="Q3" s="5"/>
      <c r="R3" s="5"/>
      <c r="S3" s="5"/>
      <c r="T3" s="5"/>
      <c r="U3" s="5"/>
      <c r="V3" s="5"/>
      <c r="W3" s="5"/>
    </row>
    <row r="4" spans="1:31" x14ac:dyDescent="0.3">
      <c r="A4" s="2" t="s">
        <v>51</v>
      </c>
      <c r="B4" s="26"/>
      <c r="C4" s="19">
        <v>2015</v>
      </c>
      <c r="D4" s="27"/>
      <c r="E4" s="26"/>
      <c r="F4" s="19">
        <v>2016</v>
      </c>
      <c r="G4" s="27"/>
      <c r="H4" s="26"/>
      <c r="I4" s="19">
        <v>2017</v>
      </c>
      <c r="J4" s="27"/>
      <c r="K4" s="26"/>
      <c r="L4" s="19">
        <v>2018</v>
      </c>
      <c r="M4" s="27"/>
      <c r="N4" s="26"/>
      <c r="O4" s="19">
        <v>2019</v>
      </c>
      <c r="P4" s="27"/>
      <c r="Q4" s="26"/>
      <c r="R4" s="19">
        <v>2020</v>
      </c>
      <c r="S4" s="27"/>
      <c r="T4" s="26"/>
      <c r="U4" s="19">
        <v>2021</v>
      </c>
      <c r="V4" s="27"/>
      <c r="W4" s="26"/>
      <c r="X4" s="19">
        <v>2022</v>
      </c>
      <c r="Y4" s="27"/>
      <c r="Z4" s="26"/>
      <c r="AA4" s="19">
        <v>2023</v>
      </c>
      <c r="AB4" s="27"/>
      <c r="AC4" s="26"/>
      <c r="AD4" s="19">
        <v>2024</v>
      </c>
      <c r="AE4" s="27"/>
    </row>
    <row r="5" spans="1:31" ht="28.8" x14ac:dyDescent="0.3">
      <c r="A5" s="2"/>
      <c r="B5" s="8" t="s">
        <v>27</v>
      </c>
      <c r="C5" s="9" t="s">
        <v>28</v>
      </c>
      <c r="D5" s="10" t="s">
        <v>29</v>
      </c>
      <c r="E5" s="9" t="s">
        <v>27</v>
      </c>
      <c r="F5" s="9" t="s">
        <v>28</v>
      </c>
      <c r="G5" s="9" t="s">
        <v>29</v>
      </c>
      <c r="H5" s="8" t="s">
        <v>27</v>
      </c>
      <c r="I5" s="9" t="s">
        <v>28</v>
      </c>
      <c r="J5" s="10" t="s">
        <v>29</v>
      </c>
      <c r="K5" s="9" t="s">
        <v>27</v>
      </c>
      <c r="L5" s="9" t="s">
        <v>28</v>
      </c>
      <c r="M5" s="10" t="s">
        <v>29</v>
      </c>
      <c r="N5" s="9" t="s">
        <v>27</v>
      </c>
      <c r="O5" s="9" t="s">
        <v>28</v>
      </c>
      <c r="P5" s="10" t="s">
        <v>29</v>
      </c>
      <c r="Q5" s="8" t="s">
        <v>27</v>
      </c>
      <c r="R5" s="9" t="s">
        <v>28</v>
      </c>
      <c r="S5" s="10" t="s">
        <v>29</v>
      </c>
      <c r="T5" s="8" t="s">
        <v>27</v>
      </c>
      <c r="U5" s="9" t="s">
        <v>28</v>
      </c>
      <c r="V5" s="9" t="s">
        <v>29</v>
      </c>
      <c r="W5" s="8" t="s">
        <v>27</v>
      </c>
      <c r="X5" s="9" t="s">
        <v>28</v>
      </c>
      <c r="Y5" s="9" t="s">
        <v>29</v>
      </c>
      <c r="Z5" s="8" t="s">
        <v>27</v>
      </c>
      <c r="AA5" s="9" t="s">
        <v>28</v>
      </c>
      <c r="AB5" s="9" t="s">
        <v>29</v>
      </c>
      <c r="AC5" s="8" t="s">
        <v>27</v>
      </c>
      <c r="AD5" s="66" t="s">
        <v>85</v>
      </c>
      <c r="AE5" s="66" t="s">
        <v>86</v>
      </c>
    </row>
    <row r="6" spans="1:31" x14ac:dyDescent="0.3">
      <c r="A6" s="6" t="s">
        <v>30</v>
      </c>
      <c r="B6" s="13">
        <v>200500</v>
      </c>
      <c r="C6" s="14">
        <v>106600</v>
      </c>
      <c r="D6" s="23">
        <v>307000</v>
      </c>
      <c r="E6" s="14">
        <v>210200</v>
      </c>
      <c r="F6" s="14">
        <v>112200</v>
      </c>
      <c r="G6" s="14">
        <v>322400</v>
      </c>
      <c r="H6" s="13">
        <v>217200</v>
      </c>
      <c r="I6" s="14">
        <v>117100</v>
      </c>
      <c r="J6" s="23">
        <v>334400</v>
      </c>
      <c r="K6" s="14">
        <v>217800</v>
      </c>
      <c r="L6" s="14">
        <v>123200</v>
      </c>
      <c r="M6" s="23">
        <v>340900</v>
      </c>
      <c r="N6" s="14">
        <v>205400</v>
      </c>
      <c r="O6" s="14">
        <v>118200</v>
      </c>
      <c r="P6" s="23">
        <v>323600</v>
      </c>
      <c r="Q6" s="13">
        <v>215000</v>
      </c>
      <c r="R6" s="14">
        <v>110700</v>
      </c>
      <c r="S6" s="23">
        <v>325700</v>
      </c>
      <c r="T6" s="28">
        <v>253000</v>
      </c>
      <c r="U6" s="29">
        <v>140300</v>
      </c>
      <c r="V6" s="38">
        <v>393300</v>
      </c>
      <c r="W6" s="30">
        <v>284600</v>
      </c>
      <c r="X6" s="37">
        <v>138200</v>
      </c>
      <c r="Y6" s="55">
        <v>422800</v>
      </c>
      <c r="Z6" s="30">
        <v>317000</v>
      </c>
      <c r="AA6" s="37">
        <v>131400</v>
      </c>
      <c r="AB6" s="55">
        <v>448400</v>
      </c>
      <c r="AC6" s="30">
        <v>304000</v>
      </c>
      <c r="AD6" s="37">
        <v>149900</v>
      </c>
      <c r="AE6" s="37">
        <v>453900</v>
      </c>
    </row>
    <row r="7" spans="1:31" x14ac:dyDescent="0.3">
      <c r="A7" s="6" t="s">
        <v>31</v>
      </c>
      <c r="B7" s="15">
        <v>3000</v>
      </c>
      <c r="C7" s="16">
        <v>4800</v>
      </c>
      <c r="D7" s="24">
        <v>7800</v>
      </c>
      <c r="E7" s="16">
        <v>5400</v>
      </c>
      <c r="F7" s="16">
        <v>5800</v>
      </c>
      <c r="G7" s="16">
        <v>11100</v>
      </c>
      <c r="H7" s="15">
        <v>7000</v>
      </c>
      <c r="I7" s="16">
        <v>6400</v>
      </c>
      <c r="J7" s="24">
        <v>13400</v>
      </c>
      <c r="K7" s="16">
        <v>6800</v>
      </c>
      <c r="L7" s="16">
        <v>6500</v>
      </c>
      <c r="M7" s="24">
        <v>13300</v>
      </c>
      <c r="N7" s="16">
        <v>9300</v>
      </c>
      <c r="O7" s="16">
        <v>15900</v>
      </c>
      <c r="P7" s="24">
        <v>25200</v>
      </c>
      <c r="Q7" s="15">
        <v>11900</v>
      </c>
      <c r="R7" s="16">
        <v>12300</v>
      </c>
      <c r="S7" s="24">
        <v>24200</v>
      </c>
      <c r="T7" s="28">
        <v>10700</v>
      </c>
      <c r="U7" s="30">
        <v>20600</v>
      </c>
      <c r="V7" s="35">
        <v>31300</v>
      </c>
      <c r="W7" s="30">
        <v>11800</v>
      </c>
      <c r="X7" s="37">
        <v>14600</v>
      </c>
      <c r="Y7" s="54">
        <v>26300</v>
      </c>
      <c r="Z7" s="30">
        <v>16500</v>
      </c>
      <c r="AA7" s="37">
        <v>12600</v>
      </c>
      <c r="AB7" s="54">
        <v>29100</v>
      </c>
      <c r="AC7" s="30">
        <v>15600</v>
      </c>
      <c r="AD7" s="37">
        <v>14300</v>
      </c>
      <c r="AE7" s="37">
        <v>29900</v>
      </c>
    </row>
    <row r="8" spans="1:31" x14ac:dyDescent="0.3">
      <c r="A8" s="6" t="s">
        <v>32</v>
      </c>
      <c r="B8" s="15">
        <v>7600</v>
      </c>
      <c r="C8" s="16">
        <v>7000</v>
      </c>
      <c r="D8" s="24">
        <v>14500</v>
      </c>
      <c r="E8" s="16">
        <v>8200</v>
      </c>
      <c r="F8" s="16">
        <v>8100</v>
      </c>
      <c r="G8" s="16">
        <v>16300</v>
      </c>
      <c r="H8" s="15">
        <v>4800</v>
      </c>
      <c r="I8" s="16">
        <v>5900</v>
      </c>
      <c r="J8" s="24">
        <v>10700</v>
      </c>
      <c r="K8" s="16">
        <v>4900</v>
      </c>
      <c r="L8" s="16">
        <v>7000</v>
      </c>
      <c r="M8" s="24">
        <v>11900</v>
      </c>
      <c r="N8" s="16">
        <v>4900</v>
      </c>
      <c r="O8" s="16">
        <v>4900</v>
      </c>
      <c r="P8" s="24">
        <v>9800</v>
      </c>
      <c r="Q8" s="15">
        <v>4700</v>
      </c>
      <c r="R8" s="16">
        <v>4200</v>
      </c>
      <c r="S8" s="24">
        <v>9000</v>
      </c>
      <c r="T8" s="28">
        <v>5400</v>
      </c>
      <c r="U8" s="30">
        <v>7500</v>
      </c>
      <c r="V8" s="35">
        <v>12800</v>
      </c>
      <c r="W8" s="30">
        <v>6600</v>
      </c>
      <c r="X8" s="37">
        <v>8700</v>
      </c>
      <c r="Y8" s="54">
        <v>15300</v>
      </c>
      <c r="Z8" s="30">
        <v>5800</v>
      </c>
      <c r="AA8" s="37">
        <v>8200</v>
      </c>
      <c r="AB8" s="54">
        <v>14000</v>
      </c>
      <c r="AC8" s="30">
        <v>9900</v>
      </c>
      <c r="AD8" s="37">
        <v>8200</v>
      </c>
      <c r="AE8" s="37">
        <v>18100</v>
      </c>
    </row>
    <row r="9" spans="1:31" x14ac:dyDescent="0.3">
      <c r="A9" s="6" t="s">
        <v>33</v>
      </c>
      <c r="B9" s="15">
        <v>9900</v>
      </c>
      <c r="C9" s="16">
        <v>9500</v>
      </c>
      <c r="D9" s="24">
        <v>19400</v>
      </c>
      <c r="E9" s="16">
        <v>4900</v>
      </c>
      <c r="F9" s="16">
        <v>5300</v>
      </c>
      <c r="G9" s="16">
        <v>10200</v>
      </c>
      <c r="H9" s="15">
        <v>5400</v>
      </c>
      <c r="I9" s="16">
        <v>3000</v>
      </c>
      <c r="J9" s="24">
        <v>8500</v>
      </c>
      <c r="K9" s="16">
        <v>6400</v>
      </c>
      <c r="L9" s="16">
        <v>4000</v>
      </c>
      <c r="M9" s="24">
        <v>10400</v>
      </c>
      <c r="N9" s="16">
        <v>5000</v>
      </c>
      <c r="O9" s="16">
        <v>3200</v>
      </c>
      <c r="P9" s="24">
        <v>8200</v>
      </c>
      <c r="Q9" s="15">
        <v>5200</v>
      </c>
      <c r="R9" s="16">
        <v>2900</v>
      </c>
      <c r="S9" s="24">
        <v>8100</v>
      </c>
      <c r="T9" s="28">
        <v>6600</v>
      </c>
      <c r="U9" s="30">
        <v>4700</v>
      </c>
      <c r="V9" s="35">
        <v>11200</v>
      </c>
      <c r="W9" s="30">
        <v>8900</v>
      </c>
      <c r="X9" s="37">
        <v>6800</v>
      </c>
      <c r="Y9" s="54">
        <v>15700</v>
      </c>
      <c r="Z9" s="30">
        <v>19900</v>
      </c>
      <c r="AA9" s="37">
        <v>9800</v>
      </c>
      <c r="AB9" s="54">
        <v>29700</v>
      </c>
      <c r="AC9" s="30">
        <v>18800</v>
      </c>
      <c r="AD9" s="37">
        <v>9100</v>
      </c>
      <c r="AE9" s="37">
        <v>27900</v>
      </c>
    </row>
    <row r="10" spans="1:31" x14ac:dyDescent="0.3">
      <c r="A10" s="6" t="s">
        <v>34</v>
      </c>
      <c r="B10" s="31">
        <v>600</v>
      </c>
      <c r="C10" s="32">
        <v>600</v>
      </c>
      <c r="D10" s="24">
        <v>1200</v>
      </c>
      <c r="E10" s="16">
        <v>1400</v>
      </c>
      <c r="F10" s="32">
        <v>900</v>
      </c>
      <c r="G10" s="16">
        <v>2200</v>
      </c>
      <c r="H10" s="15">
        <v>1500</v>
      </c>
      <c r="I10" s="16">
        <v>1300</v>
      </c>
      <c r="J10" s="24">
        <v>2800</v>
      </c>
      <c r="K10" s="16">
        <v>1100</v>
      </c>
      <c r="L10" s="32">
        <v>800</v>
      </c>
      <c r="M10" s="24">
        <v>1900</v>
      </c>
      <c r="N10" s="16">
        <v>1100</v>
      </c>
      <c r="O10" s="16">
        <v>1000</v>
      </c>
      <c r="P10" s="24">
        <v>2100</v>
      </c>
      <c r="Q10" s="15">
        <v>1300</v>
      </c>
      <c r="R10" s="16">
        <v>1300</v>
      </c>
      <c r="S10" s="24">
        <v>2600</v>
      </c>
      <c r="T10" s="28">
        <v>2400</v>
      </c>
      <c r="U10" s="30">
        <v>1300</v>
      </c>
      <c r="V10" s="35">
        <v>3700</v>
      </c>
      <c r="W10" s="30">
        <v>1200</v>
      </c>
      <c r="X10" s="37">
        <v>1100</v>
      </c>
      <c r="Y10" s="54">
        <v>2300</v>
      </c>
      <c r="Z10" s="30">
        <v>1100</v>
      </c>
      <c r="AA10" s="37">
        <v>1100</v>
      </c>
      <c r="AB10" s="54">
        <v>2200</v>
      </c>
      <c r="AC10" s="30">
        <v>1600</v>
      </c>
      <c r="AD10" s="37">
        <v>1700</v>
      </c>
      <c r="AE10" s="37">
        <v>3300</v>
      </c>
    </row>
    <row r="11" spans="1:31" x14ac:dyDescent="0.3">
      <c r="A11" s="6" t="s">
        <v>35</v>
      </c>
      <c r="B11" s="31">
        <v>300</v>
      </c>
      <c r="C11" s="32">
        <v>200</v>
      </c>
      <c r="D11" s="33">
        <v>500</v>
      </c>
      <c r="E11" s="32">
        <v>200</v>
      </c>
      <c r="F11" s="32">
        <v>200</v>
      </c>
      <c r="G11" s="32">
        <v>400</v>
      </c>
      <c r="H11" s="31">
        <v>400</v>
      </c>
      <c r="I11" s="32" t="s">
        <v>37</v>
      </c>
      <c r="J11" s="33">
        <v>400</v>
      </c>
      <c r="K11" s="32">
        <v>200</v>
      </c>
      <c r="L11" s="32" t="s">
        <v>37</v>
      </c>
      <c r="M11" s="33">
        <v>300</v>
      </c>
      <c r="N11" s="32">
        <v>300</v>
      </c>
      <c r="O11" s="32" t="s">
        <v>37</v>
      </c>
      <c r="P11" s="33">
        <v>400</v>
      </c>
      <c r="Q11" s="31">
        <v>300</v>
      </c>
      <c r="R11" s="32" t="s">
        <v>37</v>
      </c>
      <c r="S11" s="33">
        <v>400</v>
      </c>
      <c r="T11" s="56">
        <v>400</v>
      </c>
      <c r="U11" s="34" t="s">
        <v>37</v>
      </c>
      <c r="V11" s="57">
        <v>500</v>
      </c>
      <c r="W11" s="30">
        <v>1500</v>
      </c>
      <c r="X11" s="36">
        <v>900</v>
      </c>
      <c r="Y11" s="54">
        <v>2400</v>
      </c>
      <c r="Z11" s="30">
        <v>2600</v>
      </c>
      <c r="AA11" s="37">
        <v>1100</v>
      </c>
      <c r="AB11" s="54">
        <v>3700</v>
      </c>
      <c r="AC11" s="30">
        <v>2500</v>
      </c>
      <c r="AD11" s="37">
        <v>1500</v>
      </c>
      <c r="AE11" s="37">
        <v>4000</v>
      </c>
    </row>
    <row r="12" spans="1:31" x14ac:dyDescent="0.3">
      <c r="A12" s="6" t="s">
        <v>36</v>
      </c>
      <c r="B12" s="15" t="s">
        <v>37</v>
      </c>
      <c r="C12" s="16" t="s">
        <v>37</v>
      </c>
      <c r="D12" s="24" t="s">
        <v>37</v>
      </c>
      <c r="E12" s="7" t="s">
        <v>37</v>
      </c>
      <c r="F12" s="7" t="s">
        <v>37</v>
      </c>
      <c r="G12" s="7" t="s">
        <v>37</v>
      </c>
      <c r="H12" s="25" t="s">
        <v>37</v>
      </c>
      <c r="I12" s="7" t="s">
        <v>37</v>
      </c>
      <c r="J12" s="12" t="s">
        <v>37</v>
      </c>
      <c r="K12" s="7" t="s">
        <v>37</v>
      </c>
      <c r="L12" s="7" t="s">
        <v>37</v>
      </c>
      <c r="M12" s="12" t="s">
        <v>37</v>
      </c>
      <c r="N12" s="32">
        <v>200</v>
      </c>
      <c r="O12" s="7" t="s">
        <v>37</v>
      </c>
      <c r="P12" s="33">
        <v>200</v>
      </c>
      <c r="Q12" s="31">
        <v>300</v>
      </c>
      <c r="R12" s="32" t="s">
        <v>37</v>
      </c>
      <c r="S12" s="33">
        <v>400</v>
      </c>
      <c r="T12" s="56">
        <v>600</v>
      </c>
      <c r="U12" s="34">
        <v>200</v>
      </c>
      <c r="V12" s="57">
        <v>800</v>
      </c>
      <c r="W12" s="34">
        <v>900</v>
      </c>
      <c r="X12" s="36">
        <v>500</v>
      </c>
      <c r="Y12" s="54">
        <v>1400</v>
      </c>
      <c r="Z12" s="34">
        <v>500</v>
      </c>
      <c r="AA12" s="36">
        <v>100</v>
      </c>
      <c r="AB12" s="58">
        <v>600</v>
      </c>
      <c r="AC12" s="34">
        <v>600</v>
      </c>
      <c r="AD12" s="36">
        <v>100</v>
      </c>
      <c r="AE12" s="36">
        <v>800</v>
      </c>
    </row>
    <row r="13" spans="1:31" x14ac:dyDescent="0.3">
      <c r="A13" s="2" t="s">
        <v>38</v>
      </c>
      <c r="B13" s="15">
        <v>12100</v>
      </c>
      <c r="C13" s="16">
        <v>6600</v>
      </c>
      <c r="D13" s="24">
        <v>18700</v>
      </c>
      <c r="E13" s="16">
        <v>9500</v>
      </c>
      <c r="F13" s="16">
        <v>6200</v>
      </c>
      <c r="G13" s="16">
        <v>15700</v>
      </c>
      <c r="H13" s="15">
        <v>13500</v>
      </c>
      <c r="I13" s="16">
        <v>6700</v>
      </c>
      <c r="J13" s="24">
        <v>20200</v>
      </c>
      <c r="K13" s="16">
        <v>12200</v>
      </c>
      <c r="L13" s="16">
        <v>7000</v>
      </c>
      <c r="M13" s="24">
        <v>19200</v>
      </c>
      <c r="N13" s="16">
        <v>16300</v>
      </c>
      <c r="O13" s="16">
        <v>6100</v>
      </c>
      <c r="P13" s="24">
        <v>22400</v>
      </c>
      <c r="Q13" s="15">
        <v>19500</v>
      </c>
      <c r="R13" s="16">
        <v>7700</v>
      </c>
      <c r="S13" s="24">
        <v>27200</v>
      </c>
      <c r="T13" s="28">
        <v>22300</v>
      </c>
      <c r="U13" s="30">
        <v>6600</v>
      </c>
      <c r="V13" s="35">
        <v>29000</v>
      </c>
      <c r="W13" s="30">
        <v>25900</v>
      </c>
      <c r="X13" s="37">
        <v>6200</v>
      </c>
      <c r="Y13" s="54">
        <v>32100</v>
      </c>
      <c r="Z13" s="30">
        <v>31400</v>
      </c>
      <c r="AA13" s="37">
        <v>10100</v>
      </c>
      <c r="AB13" s="54">
        <v>41500</v>
      </c>
      <c r="AC13" s="30">
        <v>40600</v>
      </c>
      <c r="AD13" s="37">
        <v>13200</v>
      </c>
      <c r="AE13" s="37">
        <v>53800</v>
      </c>
    </row>
    <row r="14" spans="1:31" x14ac:dyDescent="0.3">
      <c r="A14" s="2" t="s">
        <v>39</v>
      </c>
      <c r="B14" s="15">
        <v>2500</v>
      </c>
      <c r="C14" s="16">
        <v>1400</v>
      </c>
      <c r="D14" s="24">
        <v>3900</v>
      </c>
      <c r="E14" s="16">
        <v>3300</v>
      </c>
      <c r="F14" s="16">
        <v>2000</v>
      </c>
      <c r="G14" s="16">
        <v>5400</v>
      </c>
      <c r="H14" s="15">
        <v>4200</v>
      </c>
      <c r="I14" s="16">
        <v>4200</v>
      </c>
      <c r="J14" s="24">
        <v>8400</v>
      </c>
      <c r="K14" s="16">
        <v>4900</v>
      </c>
      <c r="L14" s="16">
        <v>3500</v>
      </c>
      <c r="M14" s="24">
        <v>8400</v>
      </c>
      <c r="N14" s="16">
        <v>5000</v>
      </c>
      <c r="O14" s="16">
        <v>2100</v>
      </c>
      <c r="P14" s="24">
        <v>7100</v>
      </c>
      <c r="Q14" s="15">
        <v>8700</v>
      </c>
      <c r="R14" s="16">
        <v>4000</v>
      </c>
      <c r="S14" s="24">
        <v>12700</v>
      </c>
      <c r="T14" s="28">
        <v>13000</v>
      </c>
      <c r="U14" s="30">
        <v>4800</v>
      </c>
      <c r="V14" s="35">
        <v>17800</v>
      </c>
      <c r="W14" s="30">
        <v>14500</v>
      </c>
      <c r="X14" s="37">
        <v>6200</v>
      </c>
      <c r="Y14" s="54">
        <v>20700</v>
      </c>
      <c r="Z14" s="30">
        <v>20700</v>
      </c>
      <c r="AA14" s="37">
        <v>5300</v>
      </c>
      <c r="AB14" s="54">
        <v>26000</v>
      </c>
      <c r="AC14" s="30">
        <v>12000</v>
      </c>
      <c r="AD14" s="37">
        <v>5000</v>
      </c>
      <c r="AE14" s="37">
        <v>17000</v>
      </c>
    </row>
    <row r="15" spans="1:31" x14ac:dyDescent="0.3">
      <c r="A15" s="2" t="s">
        <v>40</v>
      </c>
      <c r="B15" s="31">
        <v>800</v>
      </c>
      <c r="C15" s="16">
        <v>2800</v>
      </c>
      <c r="D15" s="24">
        <v>3600</v>
      </c>
      <c r="E15" s="16">
        <v>2700</v>
      </c>
      <c r="F15" s="16">
        <v>2500</v>
      </c>
      <c r="G15" s="16">
        <v>5100</v>
      </c>
      <c r="H15" s="15">
        <v>1100</v>
      </c>
      <c r="I15" s="16">
        <v>1400</v>
      </c>
      <c r="J15" s="24">
        <v>2500</v>
      </c>
      <c r="K15" s="16">
        <v>1500</v>
      </c>
      <c r="L15" s="16">
        <v>1400</v>
      </c>
      <c r="M15" s="24">
        <v>2900</v>
      </c>
      <c r="N15" s="16">
        <v>1600</v>
      </c>
      <c r="O15" s="32">
        <v>900</v>
      </c>
      <c r="P15" s="24">
        <v>2500</v>
      </c>
      <c r="Q15" s="15">
        <v>2700</v>
      </c>
      <c r="R15" s="16">
        <v>1000</v>
      </c>
      <c r="S15" s="24">
        <v>3800</v>
      </c>
      <c r="T15" s="28">
        <v>3200</v>
      </c>
      <c r="U15" s="30">
        <v>2700</v>
      </c>
      <c r="V15" s="35">
        <v>5900</v>
      </c>
      <c r="W15" s="30">
        <v>3800</v>
      </c>
      <c r="X15" s="37">
        <v>2200</v>
      </c>
      <c r="Y15" s="54">
        <v>6000</v>
      </c>
      <c r="Z15" s="30">
        <v>3000</v>
      </c>
      <c r="AA15" s="37">
        <v>1200</v>
      </c>
      <c r="AB15" s="54">
        <v>4200</v>
      </c>
      <c r="AC15" s="30">
        <v>2800</v>
      </c>
      <c r="AD15" s="37">
        <v>1200</v>
      </c>
      <c r="AE15" s="37">
        <v>4100</v>
      </c>
    </row>
    <row r="16" spans="1:31" x14ac:dyDescent="0.3">
      <c r="A16" s="2" t="s">
        <v>41</v>
      </c>
      <c r="B16" s="15">
        <v>7200</v>
      </c>
      <c r="C16" s="16">
        <v>9000</v>
      </c>
      <c r="D16" s="24">
        <v>16200</v>
      </c>
      <c r="E16" s="16">
        <v>6500</v>
      </c>
      <c r="F16" s="16">
        <v>6900</v>
      </c>
      <c r="G16" s="16">
        <v>13500</v>
      </c>
      <c r="H16" s="15">
        <v>7800</v>
      </c>
      <c r="I16" s="16">
        <v>8300</v>
      </c>
      <c r="J16" s="24">
        <v>16000</v>
      </c>
      <c r="K16" s="16">
        <v>8700</v>
      </c>
      <c r="L16" s="16">
        <v>8500</v>
      </c>
      <c r="M16" s="24">
        <v>17100</v>
      </c>
      <c r="N16" s="16">
        <v>7800</v>
      </c>
      <c r="O16" s="16">
        <v>8500</v>
      </c>
      <c r="P16" s="24">
        <v>16300</v>
      </c>
      <c r="Q16" s="15">
        <v>7600</v>
      </c>
      <c r="R16" s="16">
        <v>6000</v>
      </c>
      <c r="S16" s="24">
        <v>13600</v>
      </c>
      <c r="T16" s="28">
        <v>7300</v>
      </c>
      <c r="U16" s="30">
        <v>6500</v>
      </c>
      <c r="V16" s="35">
        <v>13900</v>
      </c>
      <c r="W16" s="30">
        <v>8500</v>
      </c>
      <c r="X16" s="37">
        <v>7200</v>
      </c>
      <c r="Y16" s="54">
        <v>15700</v>
      </c>
      <c r="Z16" s="30">
        <v>8000</v>
      </c>
      <c r="AA16" s="37">
        <v>7000</v>
      </c>
      <c r="AB16" s="54">
        <v>15000</v>
      </c>
      <c r="AC16" s="30">
        <v>7400</v>
      </c>
      <c r="AD16" s="37">
        <v>7100</v>
      </c>
      <c r="AE16" s="37">
        <v>14500</v>
      </c>
    </row>
    <row r="17" spans="1:31" x14ac:dyDescent="0.3">
      <c r="A17" s="2" t="s">
        <v>42</v>
      </c>
      <c r="B17" s="15">
        <v>3900</v>
      </c>
      <c r="C17" s="16">
        <v>1600</v>
      </c>
      <c r="D17" s="24">
        <v>5500</v>
      </c>
      <c r="E17" s="16">
        <v>2900</v>
      </c>
      <c r="F17" s="16">
        <v>1100</v>
      </c>
      <c r="G17" s="16">
        <v>4000</v>
      </c>
      <c r="H17" s="15">
        <v>2300</v>
      </c>
      <c r="I17" s="32">
        <v>500</v>
      </c>
      <c r="J17" s="24">
        <v>2800</v>
      </c>
      <c r="K17" s="32">
        <v>900</v>
      </c>
      <c r="L17" s="32">
        <v>300</v>
      </c>
      <c r="M17" s="24">
        <v>1200</v>
      </c>
      <c r="N17" s="32">
        <v>600</v>
      </c>
      <c r="O17" s="32">
        <v>200</v>
      </c>
      <c r="P17" s="33">
        <v>800</v>
      </c>
      <c r="Q17" s="31">
        <v>600</v>
      </c>
      <c r="R17" s="32">
        <v>200</v>
      </c>
      <c r="S17" s="33">
        <v>800</v>
      </c>
      <c r="T17" s="56">
        <v>600</v>
      </c>
      <c r="U17" s="34">
        <v>200</v>
      </c>
      <c r="V17" s="57">
        <v>800</v>
      </c>
      <c r="W17" s="30">
        <v>1500</v>
      </c>
      <c r="X17" s="36">
        <v>600</v>
      </c>
      <c r="Y17" s="54">
        <v>2100</v>
      </c>
      <c r="Z17" s="30">
        <v>1700</v>
      </c>
      <c r="AA17" s="36">
        <v>200</v>
      </c>
      <c r="AB17" s="54">
        <v>1900</v>
      </c>
      <c r="AC17" s="30">
        <v>1400</v>
      </c>
      <c r="AD17" s="36">
        <v>600</v>
      </c>
      <c r="AE17" s="37">
        <v>1900</v>
      </c>
    </row>
    <row r="18" spans="1:31" x14ac:dyDescent="0.3">
      <c r="A18" s="2" t="s">
        <v>43</v>
      </c>
      <c r="B18" s="15">
        <v>24700</v>
      </c>
      <c r="C18" s="16">
        <v>9200</v>
      </c>
      <c r="D18" s="24">
        <v>34000</v>
      </c>
      <c r="E18" s="16">
        <v>39200</v>
      </c>
      <c r="F18" s="16">
        <v>14400</v>
      </c>
      <c r="G18" s="16">
        <v>53600</v>
      </c>
      <c r="H18" s="15">
        <v>28500</v>
      </c>
      <c r="I18" s="16">
        <v>11700</v>
      </c>
      <c r="J18" s="24">
        <v>40200</v>
      </c>
      <c r="K18" s="16">
        <v>23200</v>
      </c>
      <c r="L18" s="16">
        <v>8200</v>
      </c>
      <c r="M18" s="24">
        <v>31300</v>
      </c>
      <c r="N18" s="16">
        <v>26300</v>
      </c>
      <c r="O18" s="16">
        <v>6700</v>
      </c>
      <c r="P18" s="24">
        <v>33000</v>
      </c>
      <c r="Q18" s="15">
        <v>24300</v>
      </c>
      <c r="R18" s="16">
        <v>6400</v>
      </c>
      <c r="S18" s="24">
        <v>30600</v>
      </c>
      <c r="T18" s="28">
        <v>35400</v>
      </c>
      <c r="U18" s="30">
        <v>8500</v>
      </c>
      <c r="V18" s="35">
        <v>44000</v>
      </c>
      <c r="W18" s="30">
        <v>34700</v>
      </c>
      <c r="X18" s="37">
        <v>8800</v>
      </c>
      <c r="Y18" s="54">
        <v>43400</v>
      </c>
      <c r="Z18" s="30">
        <v>44600</v>
      </c>
      <c r="AA18" s="37">
        <v>7200</v>
      </c>
      <c r="AB18" s="54">
        <v>51700</v>
      </c>
      <c r="AC18" s="30">
        <v>33200</v>
      </c>
      <c r="AD18" s="37">
        <v>8100</v>
      </c>
      <c r="AE18" s="37">
        <v>41300</v>
      </c>
    </row>
    <row r="19" spans="1:31" x14ac:dyDescent="0.3">
      <c r="A19" s="2" t="s">
        <v>44</v>
      </c>
      <c r="B19" s="15">
        <v>90800</v>
      </c>
      <c r="C19" s="16">
        <v>35300</v>
      </c>
      <c r="D19" s="24">
        <v>126100</v>
      </c>
      <c r="E19" s="16">
        <v>88900</v>
      </c>
      <c r="F19" s="16">
        <v>39000</v>
      </c>
      <c r="G19" s="16">
        <v>127900</v>
      </c>
      <c r="H19" s="15">
        <v>102500</v>
      </c>
      <c r="I19" s="16">
        <v>46300</v>
      </c>
      <c r="J19" s="24">
        <v>148800</v>
      </c>
      <c r="K19" s="16">
        <v>109000</v>
      </c>
      <c r="L19" s="16">
        <v>45900</v>
      </c>
      <c r="M19" s="24">
        <v>154900</v>
      </c>
      <c r="N19" s="16">
        <v>87700</v>
      </c>
      <c r="O19" s="16">
        <v>38300</v>
      </c>
      <c r="P19" s="24">
        <v>126000</v>
      </c>
      <c r="Q19" s="15">
        <v>87000</v>
      </c>
      <c r="R19" s="16">
        <v>33400</v>
      </c>
      <c r="S19" s="24">
        <v>120500</v>
      </c>
      <c r="T19" s="28">
        <v>81900</v>
      </c>
      <c r="U19" s="30">
        <v>40700</v>
      </c>
      <c r="V19" s="35">
        <v>122600</v>
      </c>
      <c r="W19" s="30">
        <v>85400</v>
      </c>
      <c r="X19" s="37">
        <v>39500</v>
      </c>
      <c r="Y19" s="54">
        <v>124900</v>
      </c>
      <c r="Z19" s="30">
        <v>80400</v>
      </c>
      <c r="AA19" s="37">
        <v>34100</v>
      </c>
      <c r="AB19" s="54">
        <v>114500</v>
      </c>
      <c r="AC19" s="30">
        <v>75600</v>
      </c>
      <c r="AD19" s="37">
        <v>35700</v>
      </c>
      <c r="AE19" s="37">
        <v>111300</v>
      </c>
    </row>
    <row r="20" spans="1:31" x14ac:dyDescent="0.3">
      <c r="A20" s="2" t="s">
        <v>45</v>
      </c>
      <c r="B20" s="15">
        <v>13300</v>
      </c>
      <c r="C20" s="16">
        <v>4100</v>
      </c>
      <c r="D20" s="24">
        <v>17400</v>
      </c>
      <c r="E20" s="16">
        <v>18900</v>
      </c>
      <c r="F20" s="16">
        <v>6100</v>
      </c>
      <c r="G20" s="16">
        <v>25000</v>
      </c>
      <c r="H20" s="15">
        <v>15400</v>
      </c>
      <c r="I20" s="16">
        <v>4800</v>
      </c>
      <c r="J20" s="24">
        <v>20200</v>
      </c>
      <c r="K20" s="16">
        <v>16300</v>
      </c>
      <c r="L20" s="16">
        <v>4700</v>
      </c>
      <c r="M20" s="24">
        <v>21000</v>
      </c>
      <c r="N20" s="16">
        <v>15500</v>
      </c>
      <c r="O20" s="16">
        <v>4300</v>
      </c>
      <c r="P20" s="24">
        <v>19800</v>
      </c>
      <c r="Q20" s="15">
        <v>13700</v>
      </c>
      <c r="R20" s="16">
        <v>3600</v>
      </c>
      <c r="S20" s="24">
        <v>17300</v>
      </c>
      <c r="T20" s="28">
        <v>16900</v>
      </c>
      <c r="U20" s="30">
        <v>4200</v>
      </c>
      <c r="V20" s="35">
        <v>21100</v>
      </c>
      <c r="W20" s="30">
        <v>21300</v>
      </c>
      <c r="X20" s="37">
        <v>5200</v>
      </c>
      <c r="Y20" s="54">
        <v>26400</v>
      </c>
      <c r="Z20" s="30">
        <v>22600</v>
      </c>
      <c r="AA20" s="37">
        <v>5100</v>
      </c>
      <c r="AB20" s="54">
        <v>27700</v>
      </c>
      <c r="AC20" s="30">
        <v>21200</v>
      </c>
      <c r="AD20" s="37">
        <v>6400</v>
      </c>
      <c r="AE20" s="37">
        <v>27500</v>
      </c>
    </row>
    <row r="21" spans="1:31" x14ac:dyDescent="0.3">
      <c r="A21" s="2" t="s">
        <v>46</v>
      </c>
      <c r="B21" s="15">
        <v>8900</v>
      </c>
      <c r="C21" s="16">
        <v>1500</v>
      </c>
      <c r="D21" s="24">
        <v>10400</v>
      </c>
      <c r="E21" s="16">
        <v>4400</v>
      </c>
      <c r="F21" s="16">
        <v>1200</v>
      </c>
      <c r="G21" s="16">
        <v>5600</v>
      </c>
      <c r="H21" s="15">
        <v>11100</v>
      </c>
      <c r="I21" s="16">
        <v>2500</v>
      </c>
      <c r="J21" s="24">
        <v>13600</v>
      </c>
      <c r="K21" s="16">
        <v>5000</v>
      </c>
      <c r="L21" s="16">
        <v>1600</v>
      </c>
      <c r="M21" s="24">
        <v>6600</v>
      </c>
      <c r="N21" s="16">
        <v>4900</v>
      </c>
      <c r="O21" s="16">
        <v>1200</v>
      </c>
      <c r="P21" s="24">
        <v>6100</v>
      </c>
      <c r="Q21" s="15">
        <v>6100</v>
      </c>
      <c r="R21" s="16">
        <v>1600</v>
      </c>
      <c r="S21" s="24">
        <v>7800</v>
      </c>
      <c r="T21" s="28">
        <v>8400</v>
      </c>
      <c r="U21" s="30">
        <v>1700</v>
      </c>
      <c r="V21" s="35">
        <v>10000</v>
      </c>
      <c r="W21" s="30">
        <v>15800</v>
      </c>
      <c r="X21" s="37">
        <v>2300</v>
      </c>
      <c r="Y21" s="54">
        <v>18100</v>
      </c>
      <c r="Z21" s="30">
        <v>17600</v>
      </c>
      <c r="AA21" s="37">
        <v>3500</v>
      </c>
      <c r="AB21" s="54">
        <v>21100</v>
      </c>
      <c r="AC21" s="30">
        <v>21200</v>
      </c>
      <c r="AD21" s="37">
        <v>3200</v>
      </c>
      <c r="AE21" s="37">
        <v>24400</v>
      </c>
    </row>
    <row r="22" spans="1:31" x14ac:dyDescent="0.3">
      <c r="A22" s="2" t="s">
        <v>47</v>
      </c>
      <c r="B22" s="15">
        <v>13700</v>
      </c>
      <c r="C22" s="16">
        <v>12800</v>
      </c>
      <c r="D22" s="24">
        <v>26600</v>
      </c>
      <c r="E22" s="16">
        <v>10200</v>
      </c>
      <c r="F22" s="16">
        <v>12100</v>
      </c>
      <c r="G22" s="16">
        <v>22200</v>
      </c>
      <c r="H22" s="15">
        <v>10000</v>
      </c>
      <c r="I22" s="16">
        <v>13200</v>
      </c>
      <c r="J22" s="24">
        <v>23200</v>
      </c>
      <c r="K22" s="16">
        <v>14400</v>
      </c>
      <c r="L22" s="16">
        <v>22700</v>
      </c>
      <c r="M22" s="24">
        <v>37100</v>
      </c>
      <c r="N22" s="16">
        <v>18300</v>
      </c>
      <c r="O22" s="16">
        <v>24300</v>
      </c>
      <c r="P22" s="24">
        <v>42500</v>
      </c>
      <c r="Q22" s="15">
        <v>18700</v>
      </c>
      <c r="R22" s="16">
        <v>25500</v>
      </c>
      <c r="S22" s="24">
        <v>44200</v>
      </c>
      <c r="T22" s="28">
        <v>32400</v>
      </c>
      <c r="U22" s="30">
        <v>28900</v>
      </c>
      <c r="V22" s="35">
        <v>61300</v>
      </c>
      <c r="W22" s="30">
        <v>33200</v>
      </c>
      <c r="X22" s="37">
        <v>25100</v>
      </c>
      <c r="Y22" s="54">
        <v>58400</v>
      </c>
      <c r="Z22" s="30">
        <v>35000</v>
      </c>
      <c r="AA22" s="37">
        <v>22800</v>
      </c>
      <c r="AB22" s="54">
        <v>57700</v>
      </c>
      <c r="AC22" s="30">
        <v>33400</v>
      </c>
      <c r="AD22" s="37">
        <v>32300</v>
      </c>
      <c r="AE22" s="37">
        <v>65800</v>
      </c>
    </row>
    <row r="23" spans="1:31" x14ac:dyDescent="0.3">
      <c r="A23" s="2" t="s">
        <v>48</v>
      </c>
      <c r="B23" s="15">
        <v>1000</v>
      </c>
      <c r="C23" s="32">
        <v>300</v>
      </c>
      <c r="D23" s="24">
        <v>1300</v>
      </c>
      <c r="E23" s="16">
        <v>3600</v>
      </c>
      <c r="F23" s="32">
        <v>600</v>
      </c>
      <c r="G23" s="16">
        <v>4200</v>
      </c>
      <c r="H23" s="15">
        <v>1800</v>
      </c>
      <c r="I23" s="32">
        <v>800</v>
      </c>
      <c r="J23" s="24">
        <v>2600</v>
      </c>
      <c r="K23" s="16">
        <v>2200</v>
      </c>
      <c r="L23" s="16">
        <v>1100</v>
      </c>
      <c r="M23" s="24">
        <v>3300</v>
      </c>
      <c r="N23" s="32">
        <v>800</v>
      </c>
      <c r="O23" s="32">
        <v>500</v>
      </c>
      <c r="P23" s="24">
        <v>1300</v>
      </c>
      <c r="Q23" s="15">
        <v>2200</v>
      </c>
      <c r="R23" s="32">
        <v>400</v>
      </c>
      <c r="S23" s="24">
        <v>2600</v>
      </c>
      <c r="T23" s="28">
        <v>5600</v>
      </c>
      <c r="U23" s="30">
        <v>1000</v>
      </c>
      <c r="V23" s="35">
        <v>6600</v>
      </c>
      <c r="W23" s="30">
        <v>9000</v>
      </c>
      <c r="X23" s="37">
        <v>2300</v>
      </c>
      <c r="Y23" s="54">
        <v>11300</v>
      </c>
      <c r="Z23" s="30">
        <v>5700</v>
      </c>
      <c r="AA23" s="37">
        <v>2100</v>
      </c>
      <c r="AB23" s="54">
        <v>7800</v>
      </c>
      <c r="AC23" s="30">
        <v>6300</v>
      </c>
      <c r="AD23" s="37">
        <v>2100</v>
      </c>
      <c r="AE23" s="37">
        <v>8400</v>
      </c>
    </row>
    <row r="24" spans="1:31" x14ac:dyDescent="0.3">
      <c r="A24" s="44" t="s">
        <v>49</v>
      </c>
      <c r="B24" s="4"/>
      <c r="C24" s="4"/>
      <c r="D24" s="4"/>
      <c r="E24" s="4"/>
      <c r="F24" s="4"/>
      <c r="G24" s="4"/>
      <c r="H24" s="4"/>
      <c r="I24" s="4"/>
      <c r="J24" s="4"/>
      <c r="K24" s="4"/>
      <c r="L24" s="4"/>
      <c r="M24" s="4"/>
      <c r="N24" s="4"/>
      <c r="O24" s="4"/>
      <c r="P24" s="4"/>
      <c r="Q24" s="3"/>
      <c r="R24" s="3"/>
      <c r="S24" s="3"/>
      <c r="T24" s="3"/>
      <c r="U24" s="3"/>
      <c r="V24" s="3"/>
      <c r="W24" s="3"/>
    </row>
    <row r="25" spans="1:31" x14ac:dyDescent="0.3">
      <c r="A25" s="2"/>
      <c r="B25" s="3"/>
      <c r="C25" s="3"/>
      <c r="D25" s="3"/>
      <c r="E25" s="3"/>
      <c r="F25" s="3"/>
      <c r="G25" s="3"/>
      <c r="H25" s="3"/>
      <c r="I25" s="3"/>
      <c r="J25" s="3"/>
      <c r="K25" s="3"/>
      <c r="L25" s="3"/>
      <c r="M25" s="3"/>
      <c r="N25" s="3"/>
      <c r="O25" s="3"/>
      <c r="P25" s="3"/>
      <c r="Q25" s="3"/>
      <c r="R25" s="3"/>
      <c r="S25" s="3"/>
      <c r="T25" s="3"/>
      <c r="U25" s="3"/>
      <c r="V25" s="3"/>
      <c r="W25" s="3"/>
    </row>
  </sheetData>
  <conditionalFormatting sqref="C4 F4 I4 L4 O4 R4 U4 X4 B5:S5">
    <cfRule type="cellIs" dxfId="10" priority="20" operator="lessThan">
      <formula>101</formula>
    </cfRule>
  </conditionalFormatting>
  <conditionalFormatting sqref="T5:V5">
    <cfRule type="cellIs" dxfId="9" priority="19" operator="lessThan">
      <formula>101</formula>
    </cfRule>
  </conditionalFormatting>
  <conditionalFormatting sqref="W5:AB5">
    <cfRule type="cellIs" dxfId="8" priority="18" operator="lessThan">
      <formula>101</formula>
    </cfRule>
  </conditionalFormatting>
  <conditionalFormatting sqref="AA4">
    <cfRule type="cellIs" dxfId="7" priority="17" operator="lessThan">
      <formula>101</formula>
    </cfRule>
  </conditionalFormatting>
  <conditionalFormatting sqref="AC5">
    <cfRule type="cellIs" dxfId="6" priority="3" operator="lessThan">
      <formula>101</formula>
    </cfRule>
  </conditionalFormatting>
  <conditionalFormatting sqref="AD4:AD5">
    <cfRule type="cellIs" dxfId="5" priority="2" operator="lessThan">
      <formula>101</formula>
    </cfRule>
  </conditionalFormatting>
  <conditionalFormatting sqref="AE5">
    <cfRule type="cellIs" dxfId="4" priority="1" operator="lessThan">
      <formula>101</formula>
    </cfRule>
  </conditionalFormatting>
  <hyperlinks>
    <hyperlink ref="A3" location="Contents!A1" display="Back to contents" xr:uid="{00000000-0004-0000-0300-000000000000}"/>
    <hyperlink ref="A24" location="Metadata!A1" display="Please see Metadata tab for footnotes and further information" xr:uid="{00000000-0004-0000-0300-000001000000}"/>
  </hyperlinks>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4"/>
  <sheetViews>
    <sheetView workbookViewId="0"/>
  </sheetViews>
  <sheetFormatPr defaultRowHeight="14.4" x14ac:dyDescent="0.3"/>
  <cols>
    <col min="1" max="1" width="36" customWidth="1"/>
    <col min="2" max="25" width="10.5546875" customWidth="1"/>
    <col min="26" max="28" width="10.6640625" customWidth="1"/>
    <col min="29" max="29" width="10.5546875" customWidth="1"/>
    <col min="30" max="30" width="12.5546875" customWidth="1"/>
    <col min="31" max="31" width="13.44140625" customWidth="1"/>
  </cols>
  <sheetData>
    <row r="1" spans="1:31" ht="19.95" customHeight="1" x14ac:dyDescent="0.4">
      <c r="A1" s="53" t="s">
        <v>52</v>
      </c>
      <c r="B1" s="3"/>
      <c r="C1" s="3"/>
      <c r="D1" s="3"/>
      <c r="E1" s="3"/>
      <c r="F1" s="3"/>
      <c r="G1" s="3"/>
      <c r="H1" s="3"/>
      <c r="I1" s="3"/>
      <c r="J1" s="3"/>
      <c r="K1" s="3"/>
      <c r="L1" s="3"/>
      <c r="M1" s="3"/>
      <c r="N1" s="3"/>
      <c r="O1" s="3"/>
      <c r="P1" s="3"/>
      <c r="Q1" s="3"/>
      <c r="R1" s="3"/>
      <c r="S1" s="3"/>
      <c r="T1" s="3"/>
    </row>
    <row r="2" spans="1:31" x14ac:dyDescent="0.3">
      <c r="A2" s="3" t="s">
        <v>25</v>
      </c>
      <c r="B2" s="3"/>
      <c r="C2" s="17"/>
      <c r="D2" s="4"/>
      <c r="E2" s="4"/>
      <c r="F2" s="4"/>
      <c r="G2" s="3"/>
      <c r="H2" s="3"/>
      <c r="I2" s="3"/>
      <c r="J2" s="3"/>
      <c r="K2" s="3"/>
      <c r="L2" s="3"/>
      <c r="M2" s="3"/>
      <c r="N2" s="3"/>
      <c r="O2" s="3"/>
      <c r="P2" s="3"/>
      <c r="Q2" s="3"/>
      <c r="R2" s="3"/>
      <c r="S2" s="3"/>
      <c r="T2" s="3"/>
    </row>
    <row r="3" spans="1:31" x14ac:dyDescent="0.3">
      <c r="A3" s="44" t="s">
        <v>23</v>
      </c>
      <c r="B3" s="3"/>
      <c r="C3" s="3"/>
      <c r="D3" s="3"/>
      <c r="E3" s="3"/>
      <c r="F3" s="3"/>
      <c r="G3" s="3"/>
      <c r="H3" s="3"/>
      <c r="I3" s="3"/>
      <c r="J3" s="3"/>
      <c r="K3" s="3"/>
      <c r="L3" s="3"/>
      <c r="M3" s="3"/>
      <c r="N3" s="3"/>
      <c r="O3" s="3"/>
      <c r="P3" s="3"/>
      <c r="Q3" s="3"/>
      <c r="R3" s="3"/>
      <c r="S3" s="3"/>
      <c r="T3" s="3"/>
    </row>
    <row r="4" spans="1:31" x14ac:dyDescent="0.3">
      <c r="A4" s="1" t="s">
        <v>26</v>
      </c>
      <c r="B4" s="18"/>
      <c r="C4" s="19">
        <v>2015</v>
      </c>
      <c r="D4" s="19"/>
      <c r="E4" s="18"/>
      <c r="F4" s="19">
        <v>2016</v>
      </c>
      <c r="G4" s="19"/>
      <c r="H4" s="18"/>
      <c r="I4" s="19">
        <v>2017</v>
      </c>
      <c r="J4" s="19"/>
      <c r="K4" s="18"/>
      <c r="L4" s="19">
        <v>2018</v>
      </c>
      <c r="M4" s="19"/>
      <c r="N4" s="18"/>
      <c r="O4" s="19">
        <v>2019</v>
      </c>
      <c r="P4" s="19"/>
      <c r="Q4" s="18"/>
      <c r="R4" s="19">
        <v>2020</v>
      </c>
      <c r="S4" s="19"/>
      <c r="T4" s="18"/>
      <c r="U4" s="19">
        <v>2021</v>
      </c>
      <c r="V4" s="19"/>
      <c r="W4" s="18"/>
      <c r="X4" s="19">
        <v>2022</v>
      </c>
      <c r="Y4" s="19"/>
      <c r="Z4" s="18"/>
      <c r="AA4" s="19">
        <v>2023</v>
      </c>
      <c r="AB4" s="19"/>
      <c r="AC4" s="18"/>
      <c r="AD4" s="19">
        <v>2024</v>
      </c>
      <c r="AE4" s="19"/>
    </row>
    <row r="5" spans="1:31" ht="28.8" x14ac:dyDescent="0.3">
      <c r="B5" s="8" t="s">
        <v>27</v>
      </c>
      <c r="C5" s="9" t="s">
        <v>28</v>
      </c>
      <c r="D5" s="9" t="s">
        <v>29</v>
      </c>
      <c r="E5" s="8" t="s">
        <v>27</v>
      </c>
      <c r="F5" s="9" t="s">
        <v>28</v>
      </c>
      <c r="G5" s="9" t="s">
        <v>29</v>
      </c>
      <c r="H5" s="8" t="s">
        <v>27</v>
      </c>
      <c r="I5" s="9" t="s">
        <v>28</v>
      </c>
      <c r="J5" s="9" t="s">
        <v>29</v>
      </c>
      <c r="K5" s="8" t="s">
        <v>27</v>
      </c>
      <c r="L5" s="9" t="s">
        <v>28</v>
      </c>
      <c r="M5" s="9" t="s">
        <v>29</v>
      </c>
      <c r="N5" s="8" t="s">
        <v>27</v>
      </c>
      <c r="O5" s="9" t="s">
        <v>28</v>
      </c>
      <c r="P5" s="9" t="s">
        <v>29</v>
      </c>
      <c r="Q5" s="8" t="s">
        <v>27</v>
      </c>
      <c r="R5" s="9" t="s">
        <v>28</v>
      </c>
      <c r="S5" s="10" t="s">
        <v>29</v>
      </c>
      <c r="T5" s="8" t="s">
        <v>27</v>
      </c>
      <c r="U5" s="9" t="s">
        <v>28</v>
      </c>
      <c r="V5" s="10" t="s">
        <v>29</v>
      </c>
      <c r="W5" s="8" t="s">
        <v>27</v>
      </c>
      <c r="X5" s="9" t="s">
        <v>28</v>
      </c>
      <c r="Y5" s="9" t="s">
        <v>29</v>
      </c>
      <c r="Z5" s="8" t="s">
        <v>27</v>
      </c>
      <c r="AA5" s="9" t="s">
        <v>28</v>
      </c>
      <c r="AB5" s="10" t="s">
        <v>29</v>
      </c>
      <c r="AC5" s="8" t="s">
        <v>27</v>
      </c>
      <c r="AD5" s="66" t="s">
        <v>85</v>
      </c>
      <c r="AE5" s="66" t="s">
        <v>86</v>
      </c>
    </row>
    <row r="6" spans="1:31" x14ac:dyDescent="0.3">
      <c r="A6" s="11" t="s">
        <v>53</v>
      </c>
      <c r="B6" s="39">
        <v>40234500</v>
      </c>
      <c r="C6" s="39">
        <v>15662000</v>
      </c>
      <c r="D6" s="40">
        <v>55896500</v>
      </c>
      <c r="E6" s="39">
        <v>41399500</v>
      </c>
      <c r="F6" s="39">
        <v>16260500</v>
      </c>
      <c r="G6" s="41">
        <v>57660000</v>
      </c>
      <c r="H6" s="39">
        <v>44021500</v>
      </c>
      <c r="I6" s="39">
        <v>17382000</v>
      </c>
      <c r="J6" s="41">
        <v>61403500</v>
      </c>
      <c r="K6" s="39">
        <v>46338500</v>
      </c>
      <c r="L6" s="39">
        <v>18793000</v>
      </c>
      <c r="M6" s="41">
        <v>65131000</v>
      </c>
      <c r="N6" s="39">
        <v>45805000</v>
      </c>
      <c r="O6" s="39">
        <v>18083000</v>
      </c>
      <c r="P6" s="41">
        <v>63888000</v>
      </c>
      <c r="Q6" s="39">
        <v>42211000</v>
      </c>
      <c r="R6" s="39">
        <v>16513500</v>
      </c>
      <c r="S6" s="41">
        <v>58724500</v>
      </c>
      <c r="T6" s="39">
        <v>54451500</v>
      </c>
      <c r="U6" s="39">
        <v>22836000</v>
      </c>
      <c r="V6" s="41">
        <v>77287500</v>
      </c>
      <c r="W6" s="39">
        <v>66537000</v>
      </c>
      <c r="X6" s="39">
        <v>27666000</v>
      </c>
      <c r="Y6" s="40">
        <v>94203000</v>
      </c>
      <c r="Z6" s="39">
        <v>68869000</v>
      </c>
      <c r="AA6" s="39">
        <v>28573000</v>
      </c>
      <c r="AB6" s="41">
        <v>97442000</v>
      </c>
      <c r="AC6" s="39">
        <v>76974000</v>
      </c>
      <c r="AD6" s="39">
        <v>32199000</v>
      </c>
      <c r="AE6" s="40">
        <v>109172500</v>
      </c>
    </row>
    <row r="7" spans="1:31" x14ac:dyDescent="0.3">
      <c r="A7" s="11" t="s">
        <v>54</v>
      </c>
      <c r="B7" s="39">
        <v>12681500</v>
      </c>
      <c r="C7" s="39">
        <v>5136500</v>
      </c>
      <c r="D7" s="41">
        <v>17818000</v>
      </c>
      <c r="E7" s="39">
        <v>12035500</v>
      </c>
      <c r="F7" s="39">
        <v>4890000</v>
      </c>
      <c r="G7" s="41">
        <v>16925500</v>
      </c>
      <c r="H7" s="39">
        <v>12231500</v>
      </c>
      <c r="I7" s="39">
        <v>4687500</v>
      </c>
      <c r="J7" s="41">
        <v>16919000</v>
      </c>
      <c r="K7" s="39">
        <v>13136000</v>
      </c>
      <c r="L7" s="39">
        <v>5230000</v>
      </c>
      <c r="M7" s="41">
        <v>18366000</v>
      </c>
      <c r="N7" s="39">
        <v>14005000</v>
      </c>
      <c r="O7" s="39">
        <v>5735500</v>
      </c>
      <c r="P7" s="41">
        <v>19740000</v>
      </c>
      <c r="Q7" s="39">
        <v>13838000</v>
      </c>
      <c r="R7" s="39">
        <v>5424500</v>
      </c>
      <c r="S7" s="41">
        <v>19262500</v>
      </c>
      <c r="T7" s="39">
        <v>18785500</v>
      </c>
      <c r="U7" s="39">
        <v>8143500</v>
      </c>
      <c r="V7" s="41">
        <v>26929000</v>
      </c>
      <c r="W7" s="39">
        <v>26638000</v>
      </c>
      <c r="X7" s="39">
        <v>10328000</v>
      </c>
      <c r="Y7" s="41">
        <v>36966500</v>
      </c>
      <c r="Z7" s="39">
        <v>29521000</v>
      </c>
      <c r="AA7" s="39">
        <v>12266500</v>
      </c>
      <c r="AB7" s="41">
        <v>41787500</v>
      </c>
      <c r="AC7" s="39">
        <v>33622000</v>
      </c>
      <c r="AD7" s="39">
        <v>13558000</v>
      </c>
      <c r="AE7" s="41">
        <v>47180500</v>
      </c>
    </row>
    <row r="8" spans="1:31" x14ac:dyDescent="0.3">
      <c r="A8" s="11" t="s">
        <v>55</v>
      </c>
      <c r="B8" s="39">
        <v>1505500</v>
      </c>
      <c r="C8" s="39">
        <v>562000</v>
      </c>
      <c r="D8" s="41">
        <v>2067500</v>
      </c>
      <c r="E8" s="39">
        <v>1665000</v>
      </c>
      <c r="F8" s="39">
        <v>631000</v>
      </c>
      <c r="G8" s="41">
        <v>2296000</v>
      </c>
      <c r="H8" s="39">
        <v>2071500</v>
      </c>
      <c r="I8" s="39">
        <v>937500</v>
      </c>
      <c r="J8" s="41">
        <v>3009000</v>
      </c>
      <c r="K8" s="39">
        <v>1572500</v>
      </c>
      <c r="L8" s="39">
        <v>721500</v>
      </c>
      <c r="M8" s="41">
        <v>2294000</v>
      </c>
      <c r="N8" s="39">
        <v>1133500</v>
      </c>
      <c r="O8" s="39">
        <v>456000</v>
      </c>
      <c r="P8" s="41">
        <v>1589500</v>
      </c>
      <c r="Q8" s="39">
        <v>1538500</v>
      </c>
      <c r="R8" s="39">
        <v>704000</v>
      </c>
      <c r="S8" s="41">
        <v>2242500</v>
      </c>
      <c r="T8" s="39">
        <v>2575000</v>
      </c>
      <c r="U8" s="39">
        <v>1163500</v>
      </c>
      <c r="V8" s="41">
        <v>3738500</v>
      </c>
      <c r="W8" s="39">
        <v>3325500</v>
      </c>
      <c r="X8" s="39">
        <v>1430500</v>
      </c>
      <c r="Y8" s="41">
        <v>4756500</v>
      </c>
      <c r="Z8" s="39">
        <v>2802000</v>
      </c>
      <c r="AA8" s="39">
        <v>1224000</v>
      </c>
      <c r="AB8" s="41">
        <v>4026000</v>
      </c>
      <c r="AC8" s="39">
        <v>2607000</v>
      </c>
      <c r="AD8" s="39">
        <v>1111000</v>
      </c>
      <c r="AE8" s="41">
        <v>3718000</v>
      </c>
    </row>
    <row r="9" spans="1:31" x14ac:dyDescent="0.3">
      <c r="A9" s="11" t="s">
        <v>56</v>
      </c>
      <c r="B9" s="39">
        <v>4961500</v>
      </c>
      <c r="C9" s="39">
        <v>1865500</v>
      </c>
      <c r="D9" s="41">
        <v>6827000</v>
      </c>
      <c r="E9" s="39">
        <v>3705500</v>
      </c>
      <c r="F9" s="39">
        <v>1377500</v>
      </c>
      <c r="G9" s="41">
        <v>5082500</v>
      </c>
      <c r="H9" s="39">
        <v>4110000</v>
      </c>
      <c r="I9" s="39">
        <v>1580500</v>
      </c>
      <c r="J9" s="41">
        <v>5690500</v>
      </c>
      <c r="K9" s="39">
        <v>4335000</v>
      </c>
      <c r="L9" s="39">
        <v>1690000</v>
      </c>
      <c r="M9" s="41">
        <v>6025000</v>
      </c>
      <c r="N9" s="39">
        <v>4679500</v>
      </c>
      <c r="O9" s="39">
        <v>1734000</v>
      </c>
      <c r="P9" s="41">
        <v>6413500</v>
      </c>
      <c r="Q9" s="39">
        <v>3533000</v>
      </c>
      <c r="R9" s="39">
        <v>1287500</v>
      </c>
      <c r="S9" s="41">
        <v>4820500</v>
      </c>
      <c r="T9" s="39">
        <v>3953500</v>
      </c>
      <c r="U9" s="39">
        <v>1525000</v>
      </c>
      <c r="V9" s="41">
        <v>5479000</v>
      </c>
      <c r="W9" s="39">
        <v>5480000</v>
      </c>
      <c r="X9" s="39">
        <v>2113500</v>
      </c>
      <c r="Y9" s="41">
        <v>7593500</v>
      </c>
      <c r="Z9" s="39">
        <v>5701000</v>
      </c>
      <c r="AA9" s="39">
        <v>2287500</v>
      </c>
      <c r="AB9" s="41">
        <v>7988000</v>
      </c>
      <c r="AC9" s="39">
        <v>6103000</v>
      </c>
      <c r="AD9" s="39">
        <v>2480500</v>
      </c>
      <c r="AE9" s="41">
        <v>8583500</v>
      </c>
    </row>
    <row r="10" spans="1:31" x14ac:dyDescent="0.3">
      <c r="A10" s="11" t="s">
        <v>44</v>
      </c>
      <c r="B10" s="39">
        <v>16703000</v>
      </c>
      <c r="C10" s="39">
        <v>6345500</v>
      </c>
      <c r="D10" s="41">
        <v>23048500</v>
      </c>
      <c r="E10" s="39">
        <v>19840000</v>
      </c>
      <c r="F10" s="39">
        <v>7699500</v>
      </c>
      <c r="G10" s="41">
        <v>27539000</v>
      </c>
      <c r="H10" s="39">
        <v>20361500</v>
      </c>
      <c r="I10" s="39">
        <v>8205000</v>
      </c>
      <c r="J10" s="41">
        <v>28566000</v>
      </c>
      <c r="K10" s="39">
        <v>20750500</v>
      </c>
      <c r="L10" s="39">
        <v>8117000</v>
      </c>
      <c r="M10" s="41">
        <v>28867500</v>
      </c>
      <c r="N10" s="39">
        <v>18153500</v>
      </c>
      <c r="O10" s="39">
        <v>6841000</v>
      </c>
      <c r="P10" s="41">
        <v>24994000</v>
      </c>
      <c r="Q10" s="39">
        <v>15231500</v>
      </c>
      <c r="R10" s="39">
        <v>5755500</v>
      </c>
      <c r="S10" s="41">
        <v>20987000</v>
      </c>
      <c r="T10" s="39">
        <v>19184500</v>
      </c>
      <c r="U10" s="39">
        <v>7799500</v>
      </c>
      <c r="V10" s="41">
        <v>26983500</v>
      </c>
      <c r="W10" s="39">
        <v>21292500</v>
      </c>
      <c r="X10" s="39">
        <v>9054000</v>
      </c>
      <c r="Y10" s="41">
        <v>30346500</v>
      </c>
      <c r="Z10" s="39">
        <v>20077500</v>
      </c>
      <c r="AA10" s="39">
        <v>8181500</v>
      </c>
      <c r="AB10" s="41">
        <v>28258500</v>
      </c>
      <c r="AC10" s="39">
        <v>21056500</v>
      </c>
      <c r="AD10" s="39">
        <v>8862500</v>
      </c>
      <c r="AE10" s="41">
        <v>29919000</v>
      </c>
    </row>
    <row r="11" spans="1:31" x14ac:dyDescent="0.3">
      <c r="A11" s="11" t="s">
        <v>57</v>
      </c>
      <c r="B11" s="39">
        <v>680000</v>
      </c>
      <c r="C11" s="39">
        <v>174500</v>
      </c>
      <c r="D11" s="41">
        <v>854500</v>
      </c>
      <c r="E11" s="39">
        <v>544500</v>
      </c>
      <c r="F11" s="39">
        <v>140000</v>
      </c>
      <c r="G11" s="41">
        <v>684000</v>
      </c>
      <c r="H11" s="39">
        <v>1138500</v>
      </c>
      <c r="I11" s="39">
        <v>277500</v>
      </c>
      <c r="J11" s="41">
        <v>1416000</v>
      </c>
      <c r="K11" s="39">
        <v>718500</v>
      </c>
      <c r="L11" s="39">
        <v>182500</v>
      </c>
      <c r="M11" s="41">
        <v>901000</v>
      </c>
      <c r="N11" s="39">
        <v>574500</v>
      </c>
      <c r="O11" s="39">
        <v>141500</v>
      </c>
      <c r="P11" s="41">
        <v>716000</v>
      </c>
      <c r="Q11" s="39">
        <v>809500</v>
      </c>
      <c r="R11" s="39">
        <v>189000</v>
      </c>
      <c r="S11" s="41">
        <v>998500</v>
      </c>
      <c r="T11" s="39">
        <v>813500</v>
      </c>
      <c r="U11" s="39">
        <v>207500</v>
      </c>
      <c r="V11" s="41">
        <v>1020500</v>
      </c>
      <c r="W11" s="39">
        <v>1278000</v>
      </c>
      <c r="X11" s="39">
        <v>346500</v>
      </c>
      <c r="Y11" s="41">
        <v>1624500</v>
      </c>
      <c r="Z11" s="39">
        <v>2097000</v>
      </c>
      <c r="AA11" s="39">
        <v>528000</v>
      </c>
      <c r="AB11" s="41">
        <v>2625000</v>
      </c>
      <c r="AC11" s="39">
        <v>1980000</v>
      </c>
      <c r="AD11" s="39">
        <v>508000</v>
      </c>
      <c r="AE11" s="41">
        <v>2488000</v>
      </c>
    </row>
    <row r="12" spans="1:31" x14ac:dyDescent="0.3">
      <c r="A12" s="2" t="s">
        <v>47</v>
      </c>
      <c r="B12" s="42">
        <v>3703000</v>
      </c>
      <c r="C12" s="39">
        <v>1578500</v>
      </c>
      <c r="D12" s="41">
        <v>5281500</v>
      </c>
      <c r="E12" s="39">
        <v>3609500</v>
      </c>
      <c r="F12" s="39">
        <v>1523000</v>
      </c>
      <c r="G12" s="41">
        <v>5132500</v>
      </c>
      <c r="H12" s="39">
        <v>4109000</v>
      </c>
      <c r="I12" s="39">
        <v>1694500</v>
      </c>
      <c r="J12" s="41">
        <v>5803500</v>
      </c>
      <c r="K12" s="39">
        <v>5825500</v>
      </c>
      <c r="L12" s="39">
        <v>2852500</v>
      </c>
      <c r="M12" s="41">
        <v>8678000</v>
      </c>
      <c r="N12" s="39">
        <v>7259500</v>
      </c>
      <c r="O12" s="39">
        <v>3175000</v>
      </c>
      <c r="P12" s="41">
        <v>10434500</v>
      </c>
      <c r="Q12" s="39">
        <v>7260500</v>
      </c>
      <c r="R12" s="39">
        <v>3152500</v>
      </c>
      <c r="S12" s="41">
        <v>10413000</v>
      </c>
      <c r="T12" s="39">
        <v>9140000</v>
      </c>
      <c r="U12" s="39">
        <v>3997000</v>
      </c>
      <c r="V12" s="41">
        <v>13136500</v>
      </c>
      <c r="W12" s="39">
        <v>8522500</v>
      </c>
      <c r="X12" s="39">
        <v>4393000</v>
      </c>
      <c r="Y12" s="41">
        <v>12915500</v>
      </c>
      <c r="Z12" s="39">
        <v>8671000</v>
      </c>
      <c r="AA12" s="39">
        <v>4086000</v>
      </c>
      <c r="AB12" s="41">
        <v>12757000</v>
      </c>
      <c r="AC12" s="39">
        <v>11605500</v>
      </c>
      <c r="AD12" s="39">
        <v>5679000</v>
      </c>
      <c r="AE12" s="41">
        <v>17284000</v>
      </c>
    </row>
    <row r="13" spans="1:31" x14ac:dyDescent="0.3">
      <c r="A13" s="44" t="s">
        <v>49</v>
      </c>
      <c r="B13" s="3"/>
      <c r="C13" s="3"/>
      <c r="D13" s="3"/>
      <c r="E13" s="3"/>
      <c r="F13" s="3"/>
      <c r="G13" s="3"/>
      <c r="H13" s="3"/>
      <c r="I13" s="3"/>
      <c r="J13" s="3"/>
      <c r="K13" s="3"/>
      <c r="L13" s="3"/>
      <c r="M13" s="3"/>
      <c r="N13" s="3"/>
      <c r="O13" s="3"/>
      <c r="P13" s="3"/>
      <c r="Q13" s="3"/>
      <c r="R13" s="3"/>
      <c r="S13" s="3"/>
      <c r="T13" s="3"/>
    </row>
    <row r="14" spans="1:31" x14ac:dyDescent="0.3">
      <c r="A14" s="2"/>
      <c r="B14" s="3"/>
      <c r="C14" s="3"/>
      <c r="D14" s="3"/>
      <c r="E14" s="3"/>
      <c r="F14" s="3"/>
      <c r="G14" s="3"/>
      <c r="H14" s="3"/>
      <c r="I14" s="3"/>
      <c r="J14" s="3"/>
      <c r="K14" s="3"/>
      <c r="L14" s="3"/>
      <c r="M14" s="3"/>
      <c r="N14" s="3"/>
      <c r="O14" s="3"/>
      <c r="P14" s="3"/>
      <c r="Q14" s="3"/>
      <c r="R14" s="3"/>
      <c r="S14" s="3"/>
      <c r="T14" s="3"/>
    </row>
  </sheetData>
  <conditionalFormatting sqref="AD5">
    <cfRule type="cellIs" dxfId="3" priority="2" operator="lessThan">
      <formula>101</formula>
    </cfRule>
  </conditionalFormatting>
  <conditionalFormatting sqref="AE5">
    <cfRule type="cellIs" dxfId="2" priority="1" operator="lessThan">
      <formula>101</formula>
    </cfRule>
  </conditionalFormatting>
  <hyperlinks>
    <hyperlink ref="A3" location="Contents!A1" display="Back to contents" xr:uid="{00000000-0004-0000-0400-000000000000}"/>
    <hyperlink ref="A13" location="Metadata!A1" display="Please see Metadata tab for footnotes and further information" xr:uid="{00000000-0004-0000-0400-000001000000}"/>
  </hyperlinks>
  <pageMargins left="0.7" right="0.7" top="0.75" bottom="0.75" header="0.3" footer="0.3"/>
  <pageSetup paperSize="9" orientation="portrait" horizontalDpi="30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4"/>
  <sheetViews>
    <sheetView workbookViewId="0"/>
  </sheetViews>
  <sheetFormatPr defaultRowHeight="14.4" x14ac:dyDescent="0.3"/>
  <cols>
    <col min="1" max="1" width="36" customWidth="1"/>
    <col min="2" max="29" width="10.5546875" customWidth="1"/>
    <col min="30" max="30" width="12.6640625" customWidth="1"/>
    <col min="31" max="31" width="13.6640625" customWidth="1"/>
  </cols>
  <sheetData>
    <row r="1" spans="1:31" ht="19.95" customHeight="1" x14ac:dyDescent="0.4">
      <c r="A1" s="53" t="s">
        <v>58</v>
      </c>
      <c r="B1" s="3"/>
      <c r="C1" s="3"/>
      <c r="D1" s="3"/>
      <c r="E1" s="3"/>
      <c r="F1" s="3"/>
      <c r="G1" s="3"/>
      <c r="H1" s="3"/>
      <c r="I1" s="3"/>
      <c r="J1" s="3"/>
      <c r="K1" s="3"/>
      <c r="L1" s="3"/>
      <c r="M1" s="3"/>
      <c r="N1" s="3"/>
      <c r="O1" s="3"/>
      <c r="P1" s="3"/>
      <c r="Q1" s="3"/>
      <c r="R1" s="3"/>
      <c r="S1" s="3"/>
      <c r="T1" s="3"/>
      <c r="W1" s="3"/>
      <c r="Z1" s="3"/>
      <c r="AC1" s="3"/>
    </row>
    <row r="2" spans="1:31" x14ac:dyDescent="0.3">
      <c r="A2" s="3" t="s">
        <v>25</v>
      </c>
      <c r="B2" s="3"/>
      <c r="C2" s="17"/>
      <c r="D2" s="4"/>
      <c r="E2" s="4"/>
      <c r="F2" s="4"/>
      <c r="G2" s="3"/>
      <c r="H2" s="3"/>
      <c r="I2" s="3"/>
      <c r="J2" s="3"/>
      <c r="K2" s="3"/>
      <c r="L2" s="3"/>
      <c r="M2" s="3"/>
      <c r="N2" s="3"/>
      <c r="O2" s="3"/>
      <c r="P2" s="3"/>
      <c r="Q2" s="3"/>
      <c r="R2" s="3"/>
      <c r="S2" s="3"/>
      <c r="T2" s="3"/>
      <c r="W2" s="3"/>
      <c r="Z2" s="3"/>
      <c r="AC2" s="3"/>
    </row>
    <row r="3" spans="1:31" x14ac:dyDescent="0.3">
      <c r="A3" s="44" t="s">
        <v>23</v>
      </c>
      <c r="B3" s="3"/>
      <c r="C3" s="3"/>
      <c r="D3" s="3"/>
      <c r="E3" s="3"/>
      <c r="F3" s="3"/>
      <c r="G3" s="3"/>
      <c r="H3" s="3"/>
      <c r="I3" s="3"/>
      <c r="J3" s="3"/>
      <c r="K3" s="3"/>
      <c r="L3" s="3"/>
      <c r="M3" s="3"/>
      <c r="N3" s="3"/>
      <c r="O3" s="3"/>
      <c r="P3" s="3"/>
      <c r="Q3" s="3"/>
      <c r="R3" s="3"/>
      <c r="S3" s="3"/>
      <c r="T3" s="3"/>
      <c r="W3" s="3"/>
      <c r="Z3" s="3"/>
      <c r="AC3" s="3"/>
    </row>
    <row r="4" spans="1:31" x14ac:dyDescent="0.3">
      <c r="A4" s="2" t="s">
        <v>51</v>
      </c>
      <c r="B4" s="18"/>
      <c r="C4" s="19">
        <v>2015</v>
      </c>
      <c r="D4" s="19"/>
      <c r="E4" s="18"/>
      <c r="F4" s="19">
        <v>2016</v>
      </c>
      <c r="G4" s="19"/>
      <c r="H4" s="18"/>
      <c r="I4" s="19">
        <v>2017</v>
      </c>
      <c r="J4" s="19"/>
      <c r="K4" s="18"/>
      <c r="L4" s="19">
        <v>2018</v>
      </c>
      <c r="M4" s="19"/>
      <c r="N4" s="18"/>
      <c r="O4" s="19">
        <v>2019</v>
      </c>
      <c r="P4" s="19"/>
      <c r="Q4" s="18"/>
      <c r="R4" s="19">
        <v>2020</v>
      </c>
      <c r="S4" s="19"/>
      <c r="T4" s="18"/>
      <c r="U4" s="19">
        <v>2021</v>
      </c>
      <c r="V4" s="19"/>
      <c r="W4" s="18"/>
      <c r="X4" s="19">
        <v>2022</v>
      </c>
      <c r="Y4" s="19"/>
      <c r="Z4" s="18"/>
      <c r="AA4" s="19">
        <v>2023</v>
      </c>
      <c r="AB4" s="19"/>
      <c r="AC4" s="18"/>
      <c r="AD4" s="19">
        <v>2024</v>
      </c>
      <c r="AE4" s="19"/>
    </row>
    <row r="5" spans="1:31" ht="28.8" x14ac:dyDescent="0.3">
      <c r="A5" s="2"/>
      <c r="B5" s="8" t="s">
        <v>27</v>
      </c>
      <c r="C5" s="9" t="s">
        <v>28</v>
      </c>
      <c r="D5" s="9" t="s">
        <v>29</v>
      </c>
      <c r="E5" s="8" t="s">
        <v>27</v>
      </c>
      <c r="F5" s="9" t="s">
        <v>28</v>
      </c>
      <c r="G5" s="9" t="s">
        <v>29</v>
      </c>
      <c r="H5" s="8" t="s">
        <v>27</v>
      </c>
      <c r="I5" s="9" t="s">
        <v>28</v>
      </c>
      <c r="J5" s="9" t="s">
        <v>29</v>
      </c>
      <c r="K5" s="8" t="s">
        <v>27</v>
      </c>
      <c r="L5" s="9" t="s">
        <v>28</v>
      </c>
      <c r="M5" s="9" t="s">
        <v>29</v>
      </c>
      <c r="N5" s="8" t="s">
        <v>27</v>
      </c>
      <c r="O5" s="9" t="s">
        <v>28</v>
      </c>
      <c r="P5" s="9" t="s">
        <v>29</v>
      </c>
      <c r="Q5" s="8" t="s">
        <v>27</v>
      </c>
      <c r="R5" s="9" t="s">
        <v>28</v>
      </c>
      <c r="S5" s="10" t="s">
        <v>29</v>
      </c>
      <c r="T5" s="8" t="s">
        <v>27</v>
      </c>
      <c r="U5" s="9" t="s">
        <v>28</v>
      </c>
      <c r="V5" s="10" t="s">
        <v>29</v>
      </c>
      <c r="W5" s="8" t="s">
        <v>27</v>
      </c>
      <c r="X5" s="9" t="s">
        <v>28</v>
      </c>
      <c r="Y5" s="10" t="s">
        <v>29</v>
      </c>
      <c r="Z5" s="8" t="s">
        <v>27</v>
      </c>
      <c r="AA5" s="9" t="s">
        <v>28</v>
      </c>
      <c r="AB5" s="10" t="s">
        <v>29</v>
      </c>
      <c r="AC5" s="8" t="s">
        <v>27</v>
      </c>
      <c r="AD5" s="66" t="s">
        <v>85</v>
      </c>
      <c r="AE5" s="66" t="s">
        <v>86</v>
      </c>
    </row>
    <row r="6" spans="1:31" x14ac:dyDescent="0.3">
      <c r="A6" s="11" t="s">
        <v>53</v>
      </c>
      <c r="B6" s="39">
        <v>200500</v>
      </c>
      <c r="C6" s="39">
        <v>106600</v>
      </c>
      <c r="D6" s="40">
        <v>307000</v>
      </c>
      <c r="E6" s="39">
        <v>210200</v>
      </c>
      <c r="F6" s="39">
        <v>112200</v>
      </c>
      <c r="G6" s="41">
        <v>322400</v>
      </c>
      <c r="H6" s="39">
        <v>217200</v>
      </c>
      <c r="I6" s="39">
        <v>117100</v>
      </c>
      <c r="J6" s="41">
        <v>334400</v>
      </c>
      <c r="K6" s="39">
        <v>217800</v>
      </c>
      <c r="L6" s="39">
        <v>123200</v>
      </c>
      <c r="M6" s="41">
        <v>340900</v>
      </c>
      <c r="N6" s="39">
        <v>205400</v>
      </c>
      <c r="O6" s="39">
        <v>118200</v>
      </c>
      <c r="P6" s="41">
        <v>323600</v>
      </c>
      <c r="Q6" s="39">
        <v>215000</v>
      </c>
      <c r="R6" s="39">
        <v>110700</v>
      </c>
      <c r="S6" s="41">
        <v>325700</v>
      </c>
      <c r="T6" s="39">
        <v>253000</v>
      </c>
      <c r="U6" s="39">
        <v>140300</v>
      </c>
      <c r="V6" s="41">
        <v>393300</v>
      </c>
      <c r="W6" s="39">
        <v>284600</v>
      </c>
      <c r="X6" s="39">
        <v>138200</v>
      </c>
      <c r="Y6" s="41">
        <v>422800</v>
      </c>
      <c r="Z6" s="39">
        <v>317000</v>
      </c>
      <c r="AA6" s="39">
        <v>131400</v>
      </c>
      <c r="AB6" s="41">
        <v>448400</v>
      </c>
      <c r="AC6" s="39">
        <v>304000</v>
      </c>
      <c r="AD6" s="39">
        <v>149900</v>
      </c>
      <c r="AE6" s="41">
        <v>453900</v>
      </c>
    </row>
    <row r="7" spans="1:31" x14ac:dyDescent="0.3">
      <c r="A7" s="11" t="s">
        <v>54</v>
      </c>
      <c r="B7" s="39">
        <v>33500</v>
      </c>
      <c r="C7" s="39">
        <v>28600</v>
      </c>
      <c r="D7" s="41">
        <v>62100</v>
      </c>
      <c r="E7" s="39">
        <v>29600</v>
      </c>
      <c r="F7" s="39">
        <v>26400</v>
      </c>
      <c r="G7" s="41">
        <v>56000</v>
      </c>
      <c r="H7" s="39">
        <v>32600</v>
      </c>
      <c r="I7" s="39">
        <v>23400</v>
      </c>
      <c r="J7" s="41">
        <v>56000</v>
      </c>
      <c r="K7" s="39">
        <v>31700</v>
      </c>
      <c r="L7" s="39">
        <v>25400</v>
      </c>
      <c r="M7" s="41">
        <v>57100</v>
      </c>
      <c r="N7" s="39">
        <v>37000</v>
      </c>
      <c r="O7" s="39">
        <v>31200</v>
      </c>
      <c r="P7" s="41">
        <v>68200</v>
      </c>
      <c r="Q7" s="39">
        <v>43300</v>
      </c>
      <c r="R7" s="39">
        <v>28500</v>
      </c>
      <c r="S7" s="41">
        <v>71800</v>
      </c>
      <c r="T7" s="39">
        <v>48300</v>
      </c>
      <c r="U7" s="39">
        <v>40900</v>
      </c>
      <c r="V7" s="41">
        <v>89200</v>
      </c>
      <c r="W7" s="39">
        <v>56800</v>
      </c>
      <c r="X7" s="39">
        <v>38800</v>
      </c>
      <c r="Y7" s="41">
        <v>95600</v>
      </c>
      <c r="Z7" s="39">
        <v>77800</v>
      </c>
      <c r="AA7" s="39">
        <v>43100</v>
      </c>
      <c r="AB7" s="41">
        <v>120900</v>
      </c>
      <c r="AC7" s="39">
        <v>89500</v>
      </c>
      <c r="AD7" s="39">
        <v>48200</v>
      </c>
      <c r="AE7" s="41">
        <v>137700</v>
      </c>
    </row>
    <row r="8" spans="1:31" x14ac:dyDescent="0.3">
      <c r="A8" s="11" t="s">
        <v>55</v>
      </c>
      <c r="B8" s="39">
        <v>3300</v>
      </c>
      <c r="C8" s="39">
        <v>4200</v>
      </c>
      <c r="D8" s="41">
        <v>7500</v>
      </c>
      <c r="E8" s="39">
        <v>6000</v>
      </c>
      <c r="F8" s="39">
        <v>4500</v>
      </c>
      <c r="G8" s="41">
        <v>10500</v>
      </c>
      <c r="H8" s="39">
        <v>5300</v>
      </c>
      <c r="I8" s="39">
        <v>5600</v>
      </c>
      <c r="J8" s="41">
        <v>10900</v>
      </c>
      <c r="K8" s="39">
        <v>6400</v>
      </c>
      <c r="L8" s="39">
        <v>4800</v>
      </c>
      <c r="M8" s="41">
        <v>11300</v>
      </c>
      <c r="N8" s="39">
        <v>6600</v>
      </c>
      <c r="O8" s="39">
        <v>3100</v>
      </c>
      <c r="P8" s="41">
        <v>9600</v>
      </c>
      <c r="Q8" s="39">
        <v>11400</v>
      </c>
      <c r="R8" s="39">
        <v>5000</v>
      </c>
      <c r="S8" s="41">
        <v>16500</v>
      </c>
      <c r="T8" s="39">
        <v>16100</v>
      </c>
      <c r="U8" s="39">
        <v>7600</v>
      </c>
      <c r="V8" s="41">
        <v>23700</v>
      </c>
      <c r="W8" s="39">
        <v>18400</v>
      </c>
      <c r="X8" s="39">
        <v>8400</v>
      </c>
      <c r="Y8" s="41">
        <v>26700</v>
      </c>
      <c r="Z8" s="39">
        <v>23700</v>
      </c>
      <c r="AA8" s="39">
        <v>6500</v>
      </c>
      <c r="AB8" s="41">
        <v>30100</v>
      </c>
      <c r="AC8" s="39">
        <v>14800</v>
      </c>
      <c r="AD8" s="39">
        <v>6300</v>
      </c>
      <c r="AE8" s="41">
        <v>21000</v>
      </c>
    </row>
    <row r="9" spans="1:31" x14ac:dyDescent="0.3">
      <c r="A9" s="11" t="s">
        <v>56</v>
      </c>
      <c r="B9" s="39">
        <v>11100</v>
      </c>
      <c r="C9" s="39">
        <v>10600</v>
      </c>
      <c r="D9" s="41">
        <v>21700</v>
      </c>
      <c r="E9" s="39">
        <v>9400</v>
      </c>
      <c r="F9" s="39">
        <v>8100</v>
      </c>
      <c r="G9" s="41">
        <v>17500</v>
      </c>
      <c r="H9" s="39">
        <v>10000</v>
      </c>
      <c r="I9" s="39">
        <v>8800</v>
      </c>
      <c r="J9" s="41">
        <v>18800</v>
      </c>
      <c r="K9" s="39">
        <v>9500</v>
      </c>
      <c r="L9" s="39">
        <v>8800</v>
      </c>
      <c r="M9" s="41">
        <v>18300</v>
      </c>
      <c r="N9" s="39">
        <v>8300</v>
      </c>
      <c r="O9" s="39">
        <v>8800</v>
      </c>
      <c r="P9" s="41">
        <v>17100</v>
      </c>
      <c r="Q9" s="39">
        <v>8200</v>
      </c>
      <c r="R9" s="39">
        <v>6200</v>
      </c>
      <c r="S9" s="41">
        <v>14400</v>
      </c>
      <c r="T9" s="39">
        <v>8000</v>
      </c>
      <c r="U9" s="39">
        <v>6700</v>
      </c>
      <c r="V9" s="41">
        <v>14700</v>
      </c>
      <c r="W9" s="39">
        <v>10000</v>
      </c>
      <c r="X9" s="39">
        <v>7800</v>
      </c>
      <c r="Y9" s="41">
        <v>17900</v>
      </c>
      <c r="Z9" s="39">
        <v>9700</v>
      </c>
      <c r="AA9" s="39">
        <v>7200</v>
      </c>
      <c r="AB9" s="41">
        <v>16900</v>
      </c>
      <c r="AC9" s="39">
        <v>8800</v>
      </c>
      <c r="AD9" s="39">
        <v>7600</v>
      </c>
      <c r="AE9" s="41">
        <v>16400</v>
      </c>
    </row>
    <row r="10" spans="1:31" x14ac:dyDescent="0.3">
      <c r="A10" s="11" t="s">
        <v>44</v>
      </c>
      <c r="B10" s="39">
        <v>128800</v>
      </c>
      <c r="C10" s="39">
        <v>48600</v>
      </c>
      <c r="D10" s="41">
        <v>177500</v>
      </c>
      <c r="E10" s="39">
        <v>147000</v>
      </c>
      <c r="F10" s="39">
        <v>59400</v>
      </c>
      <c r="G10" s="41">
        <v>206500</v>
      </c>
      <c r="H10" s="39">
        <v>146400</v>
      </c>
      <c r="I10" s="39">
        <v>62800</v>
      </c>
      <c r="J10" s="41">
        <v>209200</v>
      </c>
      <c r="K10" s="39">
        <v>148500</v>
      </c>
      <c r="L10" s="39">
        <v>58900</v>
      </c>
      <c r="M10" s="41">
        <v>207300</v>
      </c>
      <c r="N10" s="39">
        <v>129500</v>
      </c>
      <c r="O10" s="39">
        <v>49300</v>
      </c>
      <c r="P10" s="41">
        <v>178800</v>
      </c>
      <c r="Q10" s="39">
        <v>125100</v>
      </c>
      <c r="R10" s="39">
        <v>43400</v>
      </c>
      <c r="S10" s="41">
        <v>168400</v>
      </c>
      <c r="T10" s="39">
        <v>134200</v>
      </c>
      <c r="U10" s="39">
        <v>53500</v>
      </c>
      <c r="V10" s="41">
        <v>187600</v>
      </c>
      <c r="W10" s="39">
        <v>141300</v>
      </c>
      <c r="X10" s="39">
        <v>53500</v>
      </c>
      <c r="Y10" s="41">
        <v>194800</v>
      </c>
      <c r="Z10" s="39">
        <v>147600</v>
      </c>
      <c r="AA10" s="39">
        <v>46300</v>
      </c>
      <c r="AB10" s="41">
        <v>193900</v>
      </c>
      <c r="AC10" s="39">
        <v>130000</v>
      </c>
      <c r="AD10" s="39">
        <v>50100</v>
      </c>
      <c r="AE10" s="41">
        <v>180100</v>
      </c>
    </row>
    <row r="11" spans="1:31" x14ac:dyDescent="0.3">
      <c r="A11" s="11" t="s">
        <v>57</v>
      </c>
      <c r="B11" s="39">
        <v>8900</v>
      </c>
      <c r="C11" s="39">
        <v>1500</v>
      </c>
      <c r="D11" s="41">
        <v>10400</v>
      </c>
      <c r="E11" s="39">
        <v>4400</v>
      </c>
      <c r="F11" s="39">
        <v>1200</v>
      </c>
      <c r="G11" s="41">
        <v>5600</v>
      </c>
      <c r="H11" s="39">
        <v>11100</v>
      </c>
      <c r="I11" s="39">
        <v>2500</v>
      </c>
      <c r="J11" s="41">
        <v>13600</v>
      </c>
      <c r="K11" s="39">
        <v>5000</v>
      </c>
      <c r="L11" s="39">
        <v>1600</v>
      </c>
      <c r="M11" s="41">
        <v>6600</v>
      </c>
      <c r="N11" s="39">
        <v>4900</v>
      </c>
      <c r="O11" s="39">
        <v>1200</v>
      </c>
      <c r="P11" s="41">
        <v>6100</v>
      </c>
      <c r="Q11" s="39">
        <v>6100</v>
      </c>
      <c r="R11" s="39">
        <v>1600</v>
      </c>
      <c r="S11" s="41">
        <v>7800</v>
      </c>
      <c r="T11" s="39">
        <v>8400</v>
      </c>
      <c r="U11" s="39">
        <v>1700</v>
      </c>
      <c r="V11" s="41">
        <v>10000</v>
      </c>
      <c r="W11" s="39">
        <v>15800</v>
      </c>
      <c r="X11" s="39">
        <v>2300</v>
      </c>
      <c r="Y11" s="41">
        <v>18100</v>
      </c>
      <c r="Z11" s="39">
        <v>17600</v>
      </c>
      <c r="AA11" s="39">
        <v>3500</v>
      </c>
      <c r="AB11" s="41">
        <v>21100</v>
      </c>
      <c r="AC11" s="39">
        <v>21200</v>
      </c>
      <c r="AD11" s="39">
        <v>3200</v>
      </c>
      <c r="AE11" s="41">
        <v>24400</v>
      </c>
    </row>
    <row r="12" spans="1:31" x14ac:dyDescent="0.3">
      <c r="A12" s="2" t="s">
        <v>47</v>
      </c>
      <c r="B12" s="42">
        <v>14800</v>
      </c>
      <c r="C12" s="39">
        <v>13100</v>
      </c>
      <c r="D12" s="41">
        <v>27900</v>
      </c>
      <c r="E12" s="39">
        <v>13800</v>
      </c>
      <c r="F12" s="39">
        <v>12600</v>
      </c>
      <c r="G12" s="41">
        <v>26400</v>
      </c>
      <c r="H12" s="39">
        <v>11800</v>
      </c>
      <c r="I12" s="39">
        <v>14000</v>
      </c>
      <c r="J12" s="41">
        <v>25800</v>
      </c>
      <c r="K12" s="39">
        <v>16600</v>
      </c>
      <c r="L12" s="39">
        <v>23800</v>
      </c>
      <c r="M12" s="41">
        <v>40400</v>
      </c>
      <c r="N12" s="39">
        <v>19100</v>
      </c>
      <c r="O12" s="39">
        <v>24800</v>
      </c>
      <c r="P12" s="41">
        <v>43800</v>
      </c>
      <c r="Q12" s="39">
        <v>20900</v>
      </c>
      <c r="R12" s="39">
        <v>25900</v>
      </c>
      <c r="S12" s="41">
        <v>46800</v>
      </c>
      <c r="T12" s="39">
        <v>38000</v>
      </c>
      <c r="U12" s="39">
        <v>29900</v>
      </c>
      <c r="V12" s="41">
        <v>68000</v>
      </c>
      <c r="W12" s="39">
        <v>42300</v>
      </c>
      <c r="X12" s="39">
        <v>27400</v>
      </c>
      <c r="Y12" s="41">
        <v>69700</v>
      </c>
      <c r="Z12" s="39">
        <v>40700</v>
      </c>
      <c r="AA12" s="39">
        <v>24800</v>
      </c>
      <c r="AB12" s="41">
        <v>65500</v>
      </c>
      <c r="AC12" s="39">
        <v>39700</v>
      </c>
      <c r="AD12" s="39">
        <v>34400</v>
      </c>
      <c r="AE12" s="41">
        <v>74100</v>
      </c>
    </row>
    <row r="13" spans="1:31" x14ac:dyDescent="0.3">
      <c r="A13" s="44" t="s">
        <v>49</v>
      </c>
      <c r="B13" s="3"/>
      <c r="C13" s="3"/>
      <c r="D13" s="3"/>
      <c r="E13" s="3"/>
      <c r="F13" s="3"/>
      <c r="G13" s="3"/>
      <c r="H13" s="3"/>
      <c r="I13" s="3"/>
      <c r="J13" s="3"/>
      <c r="K13" s="3"/>
      <c r="L13" s="3"/>
      <c r="M13" s="3"/>
      <c r="N13" s="3"/>
      <c r="O13" s="3"/>
      <c r="P13" s="3"/>
      <c r="Q13" s="3"/>
      <c r="R13" s="3"/>
      <c r="S13" s="3"/>
      <c r="T13" s="3"/>
      <c r="W13" s="3"/>
      <c r="Z13" s="3"/>
      <c r="AC13" s="3"/>
    </row>
    <row r="14" spans="1:31" x14ac:dyDescent="0.3">
      <c r="A14" s="2"/>
      <c r="B14" s="3"/>
      <c r="C14" s="3"/>
      <c r="D14" s="3"/>
      <c r="E14" s="3"/>
      <c r="F14" s="3"/>
      <c r="G14" s="3"/>
      <c r="H14" s="3"/>
      <c r="I14" s="3"/>
      <c r="J14" s="3"/>
      <c r="K14" s="3"/>
      <c r="L14" s="3"/>
      <c r="M14" s="3"/>
      <c r="N14" s="3"/>
      <c r="O14" s="3"/>
      <c r="P14" s="3"/>
      <c r="Q14" s="3"/>
      <c r="R14" s="3"/>
      <c r="S14" s="3"/>
      <c r="T14" s="3"/>
      <c r="W14" s="3"/>
      <c r="Z14" s="3"/>
      <c r="AC14" s="3"/>
    </row>
  </sheetData>
  <conditionalFormatting sqref="AD5">
    <cfRule type="cellIs" dxfId="1" priority="2" operator="lessThan">
      <formula>101</formula>
    </cfRule>
  </conditionalFormatting>
  <conditionalFormatting sqref="AE5">
    <cfRule type="cellIs" dxfId="0" priority="1" operator="lessThan">
      <formula>101</formula>
    </cfRule>
  </conditionalFormatting>
  <hyperlinks>
    <hyperlink ref="A3" location="Contents!A1" display="Back to contents" xr:uid="{00000000-0004-0000-0500-000000000000}"/>
    <hyperlink ref="A13" location="Metadata!A1" display="Please see Metadata tab for footnotes and further information" xr:uid="{00000000-0004-0000-0500-000001000000}"/>
  </hyperlinks>
  <pageMargins left="0.7" right="0.7" top="0.75" bottom="0.75" header="0.3" footer="0.3"/>
  <pageSetup paperSize="9" orientation="portrait" horizontalDpi="30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13714</ReferenceId>
    <Notes xmlns="1e572c8d-6813-4013-8a4a-be491ac59459" xsi:nil="true"/>
    <TrackerId xmlns="1e572c8d-6813-4013-8a4a-be491ac59459">TRCK-3985</TrackerId>
  </documentManagement>
</p:properties>
</file>

<file path=customXml/itemProps1.xml><?xml version="1.0" encoding="utf-8"?>
<ds:datastoreItem xmlns:ds="http://schemas.openxmlformats.org/officeDocument/2006/customXml" ds:itemID="{97B87067-209E-46CF-A9E5-53AD61CA403F}"/>
</file>

<file path=customXml/itemProps2.xml><?xml version="1.0" encoding="utf-8"?>
<ds:datastoreItem xmlns:ds="http://schemas.openxmlformats.org/officeDocument/2006/customXml" ds:itemID="{EC7CF5B6-E44E-4120-A31A-A135FEC34CA2}"/>
</file>

<file path=customXml/itemProps3.xml><?xml version="1.0" encoding="utf-8"?>
<ds:datastoreItem xmlns:ds="http://schemas.openxmlformats.org/officeDocument/2006/customXml" ds:itemID="{60B9924B-3975-4FBF-A4D9-75D7D6ECEE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Metadata</vt:lpstr>
      <vt:lpstr>UK LCREE TO by sector</vt:lpstr>
      <vt:lpstr>UK LCREE FTE by sector</vt:lpstr>
      <vt:lpstr>UK LCREE TO by group</vt:lpstr>
      <vt:lpstr>UK LCREE FTE by 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Pike, Tom</dc:creator>
  <cp:lastModifiedBy>Cooper-King, Sarah</cp:lastModifiedBy>
  <dcterms:created xsi:type="dcterms:W3CDTF">2024-10-08T12:46:25Z</dcterms:created>
  <dcterms:modified xsi:type="dcterms:W3CDTF">2026-02-12T10:00:18Z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